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8_{D30D0BF2-B9F9-4097-B7FB-A48BBFD35370}" xr6:coauthVersionLast="47" xr6:coauthVersionMax="47" xr10:uidLastSave="{00000000-0000-0000-0000-000000000000}"/>
  <bookViews>
    <workbookView xWindow="1860" yWindow="1860" windowWidth="24710" windowHeight="14920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1" i="2"/>
  <c r="I5" i="2"/>
  <c r="I4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</calcChain>
</file>

<file path=xl/sharedStrings.xml><?xml version="1.0" encoding="utf-8"?>
<sst xmlns="http://schemas.openxmlformats.org/spreadsheetml/2006/main" count="217" uniqueCount="135">
  <si>
    <t>Marché</t>
  </si>
  <si>
    <t>Nom</t>
  </si>
  <si>
    <t>Symbole</t>
  </si>
  <si>
    <t>Qté</t>
  </si>
  <si>
    <t>Cours</t>
  </si>
  <si>
    <t>Variation %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</si>
  <si>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</si>
  <si>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</si>
  <si>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</si>
  <si>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</si>
  <si>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</si>
  <si>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</si>
  <si>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</si>
  <si>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</si>
  <si>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</si>
  <si>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</si>
  <si>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</si>
  <si>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</si>
  <si>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</si>
  <si>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</si>
  <si>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</si>
  <si>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</si>
  <si>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</si>
  <si>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</si>
  <si>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</si>
  <si>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</si>
  <si>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</si>
  <si>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</si>
  <si>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</si>
  <si>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</si>
  <si>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</si>
  <si>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</si>
  <si>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</si>
  <si>
    <t>Isin</t>
  </si>
  <si>
    <t>Classe d'actifs</t>
  </si>
  <si>
    <t>ETF</t>
  </si>
  <si>
    <t>TER</t>
  </si>
  <si>
    <t>USA</t>
  </si>
  <si>
    <t>Israel</t>
  </si>
  <si>
    <t>Irlande</t>
  </si>
  <si>
    <t>France</t>
  </si>
  <si>
    <t>Finance</t>
  </si>
  <si>
    <t>Qualité credit</t>
  </si>
  <si>
    <t>Etats</t>
  </si>
  <si>
    <t>Entreprises</t>
  </si>
  <si>
    <t>Etats2</t>
  </si>
  <si>
    <t>Date de fin</t>
  </si>
  <si>
    <t>Taux</t>
  </si>
  <si>
    <t>Nouvelle Zelande</t>
  </si>
  <si>
    <t>Autre Secteur</t>
  </si>
  <si>
    <t>Type d'instr</t>
  </si>
  <si>
    <t>Banques Dispo</t>
  </si>
  <si>
    <t>Replication</t>
  </si>
  <si>
    <t>ESG</t>
  </si>
  <si>
    <t>Cap/Dis</t>
  </si>
  <si>
    <t>Taille du Fonds</t>
  </si>
  <si>
    <t>Positions</t>
  </si>
  <si>
    <t>Couverture de change</t>
  </si>
  <si>
    <t>Japon</t>
  </si>
  <si>
    <t>Grande Bretagne</t>
  </si>
  <si>
    <t>Canada</t>
  </si>
  <si>
    <t>Pays Emergeants Hors Chine et Japon</t>
  </si>
  <si>
    <t>Australie</t>
  </si>
  <si>
    <t>Suède</t>
  </si>
  <si>
    <t>Suisse</t>
  </si>
  <si>
    <t>Chine</t>
  </si>
  <si>
    <t>Allemagne</t>
  </si>
  <si>
    <t>Pays-Bas</t>
  </si>
  <si>
    <t>Espagne</t>
  </si>
  <si>
    <t>Italie</t>
  </si>
  <si>
    <t>Autre Pays</t>
  </si>
  <si>
    <t>Industrie</t>
  </si>
  <si>
    <t>Consommation Cyclique</t>
  </si>
  <si>
    <t>Technologie</t>
  </si>
  <si>
    <t>Santé</t>
  </si>
  <si>
    <t>Consommation Defensive</t>
  </si>
  <si>
    <t>Communication</t>
  </si>
  <si>
    <t>Immobilier</t>
  </si>
  <si>
    <t>Matières Premières</t>
  </si>
  <si>
    <t>Energie</t>
  </si>
  <si>
    <t>Service Publiques</t>
  </si>
  <si>
    <t>Services de consommation</t>
  </si>
  <si>
    <t>Banque Emetteur</t>
  </si>
  <si>
    <t>Autre Emetteur</t>
  </si>
  <si>
    <t>CodeBank</t>
  </si>
  <si>
    <t>IE0008UEVOE0</t>
  </si>
  <si>
    <t>LU2823898353</t>
  </si>
  <si>
    <t>IE00BYZTVV78</t>
  </si>
  <si>
    <t>IE00BDZVH966</t>
  </si>
  <si>
    <t>US045167DR18</t>
  </si>
  <si>
    <t>US298785HM16</t>
  </si>
  <si>
    <t>US91282CAD39</t>
  </si>
  <si>
    <t>NZGOVDT528C6</t>
  </si>
  <si>
    <t>NZGOVDT526C0</t>
  </si>
  <si>
    <t>LU0099624925</t>
  </si>
  <si>
    <t>Obligations</t>
  </si>
  <si>
    <t>Fonds</t>
  </si>
  <si>
    <t>ISHARES IBONDS DEC2028 TERM CORP ETF</t>
  </si>
  <si>
    <t>BNPPE ESG ENH EUR CP BD DC2027 ETF C</t>
  </si>
  <si>
    <t>ISHARES EUR CORP BOND 0-3Y ESGSRIETF</t>
  </si>
  <si>
    <t>ISHARES USD TIPS ETF EURH CAP</t>
  </si>
  <si>
    <t>ASIAN DEVELOP  16       1,750 140826</t>
  </si>
  <si>
    <t>BEI            17       2,375 240527</t>
  </si>
  <si>
    <t>ETATS-UNIS D'A 20       0,375 310727</t>
  </si>
  <si>
    <t>NOUVELLE-ZELAN 20       0,250 150528</t>
  </si>
  <si>
    <t>NOUVELLE-ZELAN 21       0,500 150526</t>
  </si>
  <si>
    <t>BNPP EUR SHORT TERM CORP BD OPP C-D</t>
  </si>
  <si>
    <t>LU2823898437</t>
  </si>
  <si>
    <t>LU2823896738</t>
  </si>
  <si>
    <t>BNPPE ESG ENH EUR CP BD DC2027 ETF D</t>
  </si>
  <si>
    <t>BNPPE ESG ENH EUR CP BD DC2029 ETF D</t>
  </si>
  <si>
    <t>LU0823388888</t>
  </si>
  <si>
    <t>BNPP GLOBAL HIGH YIELD BOND C-D</t>
  </si>
  <si>
    <t>iShares iBonds Dec 2028 Term € Corp UCITS ETF Dis</t>
  </si>
  <si>
    <t>Both</t>
  </si>
  <si>
    <t>Inv Grade</t>
  </si>
  <si>
    <t>Dis</t>
  </si>
  <si>
    <t>art 8</t>
  </si>
  <si>
    <t>BNP PARIBAS EASY ESG ENHANCED EUR CORP BOND DECEMBER 2027</t>
  </si>
  <si>
    <t>BNP PARIBAS EASY ESG ENHANCED EUR CORP BOND DECEMBER 2027 Cap</t>
  </si>
  <si>
    <t>Cap</t>
  </si>
  <si>
    <t>iShares € Corp Bond 0-3Yr ESG SRI UCITS ETF Dis</t>
  </si>
  <si>
    <t>USD</t>
  </si>
  <si>
    <t>iShares $ TIPS UCITS ETF</t>
  </si>
  <si>
    <t>Yes</t>
  </si>
  <si>
    <t>European Investment Bank (EIB) 2,375% 17/27</t>
  </si>
  <si>
    <t>Asian Development Bank (ADB) 1,75% 16/26</t>
  </si>
  <si>
    <t>United States of America 0,375% 20/27</t>
  </si>
  <si>
    <t>Government ofNew Zealand 0,25% 20/28</t>
  </si>
  <si>
    <t>Government ofNew Zealand 0,5% 20/26</t>
  </si>
  <si>
    <t>NZD</t>
  </si>
  <si>
    <t>BNP Paribas Euro Short Term Corporate Bond Opportunities Dis</t>
  </si>
  <si>
    <t>Dist</t>
  </si>
  <si>
    <t>BNP PARIBAS EASY ESG ENHANCED EUR CORP BOND DECEMBER 2029</t>
  </si>
  <si>
    <t>BNP Paribas Global High Yield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</si>
</sst>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General\ [$EUR]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Border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9" fontId="0" fillId="0" borderId="0" xfId="2" applyFont="1"/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43" fontId="0" fillId="0" borderId="0" xfId="1" applyFont="1"/>
    <xf numFmtId="10" fontId="0" fillId="0" borderId="0" xfId="0" applyNumberFormat="1"/>
    <xf numFmtId="9" fontId="0" fillId="0" borderId="0" xfId="2" applyFont="1" applyFill="1"/>
  </cellXfs>
  <cellStyles count="3">
    <cellStyle name="Milliers" xfId="1" builtinId="3"/>
    <cellStyle name="Normal" xfId="0" builtinId="0"/>
    <cellStyle name="Pourcentage" xfId="2" builtinId="5"/>
  </cellStyles>
  <dxfs count="5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BA14" totalsRowShown="0" dataDxfId="53">
  <autoFilter ref="A1:BA14" xr:uid="{00000000-0009-0000-0100-000001000000}"/>
  <tableColumns count="53">
    <tableColumn id="1" xr3:uid="{00000000-0010-0000-0000-000001000000}" name="Type d'instr" dataDxfId="52"/>
    <tableColumn id="16" xr3:uid="{94AEAA9C-01FD-4552-80C5-B58EAB6A0274}" name="Isin" dataDxfId="51"/>
    <tableColumn id="18" xr3:uid="{937F896E-58F8-4868-B80F-BFBBD02E1A67}" name="Classe d'actifs" dataDxfId="50"/>
    <tableColumn id="17" xr3:uid="{A38B70B5-75C6-42AE-B07E-39155C78ACA7}" name="Nom" dataDxfId="49"/>
    <tableColumn id="4" xr3:uid="{00000000-0010-0000-0000-000004000000}" name="Symbole" dataDxfId="48"/>
    <tableColumn id="19" xr3:uid="{042E1319-717D-42EB-9B03-27CBCD2720D8}" name="Banques Dispo" dataDxfId="47"/>
    <tableColumn id="14" xr3:uid="{2DA23C43-437A-4010-B4D9-1DDAFDBF9426}" name="Devise" dataDxfId="46"/>
    <tableColumn id="13" xr3:uid="{FD913B7B-AA05-4E5A-A570-922AA2AD4DEA}" name="Taux" dataDxfId="45"/>
    <tableColumn id="57" xr3:uid="{D816C884-8520-4A17-9A92-0616BD976FD1}" name="Date de fin" dataDxfId="44"/>
    <tableColumn id="2" xr3:uid="{1CDD588F-9B50-4909-86EE-EB22DA16F699}" name="Qualité credit" dataDxfId="43"/>
    <tableColumn id="20" xr3:uid="{610D877A-44A8-4C25-B368-79F7B4C8B6D8}" name="TER" dataDxfId="42"/>
    <tableColumn id="21" xr3:uid="{38295387-4B38-46BB-A543-74EBC82B3B79}" name="Cap/Dis" dataDxfId="41"/>
    <tableColumn id="11" xr3:uid="{3AAF35B0-38D6-4114-9798-CC5EBB299325}" name="ESG" dataDxfId="40"/>
    <tableColumn id="22" xr3:uid="{BFC7E6FB-55E7-4616-AB75-6BB97A6EAD10}" name="Replication" dataDxfId="39"/>
    <tableColumn id="23" xr3:uid="{C54A03B2-B159-4DB7-8C75-33618236C68B}" name="Taille du Fonds" dataDxfId="38"/>
    <tableColumn id="24" xr3:uid="{409CD19D-D5C7-46E4-9A0F-2E44F1DCEA5D}" name="Positions" dataDxfId="37"/>
    <tableColumn id="25" xr3:uid="{FD43C04F-E932-441C-ACFE-7F8E81EA5BB7}" name="Couverture de change" dataDxfId="36"/>
    <tableColumn id="27" xr3:uid="{50F2E838-79D4-4820-855D-51D8F839367D}" name="USA" dataDxfId="35" dataCellStyle="Pourcentage"/>
    <tableColumn id="28" xr3:uid="{E6A25C50-921E-4C76-AAB8-20B570C039EE}" name="Japon" dataDxfId="34" dataCellStyle="Pourcentage"/>
    <tableColumn id="29" xr3:uid="{599395A0-E0DE-49DB-9857-DA1182459938}" name="Grande Bretagne" dataDxfId="33" dataCellStyle="Pourcentage"/>
    <tableColumn id="30" xr3:uid="{E3B81230-45A5-4EFF-9E80-809D3FEDD90C}" name="Canada" dataDxfId="32" dataCellStyle="Pourcentage"/>
    <tableColumn id="26" xr3:uid="{A6A7F314-EE88-4102-978C-2D9645347E54}" name="Pays Emergeants Hors Chine et Japon" dataDxfId="31" dataCellStyle="Pourcentage"/>
    <tableColumn id="31" xr3:uid="{F25E201E-6C64-46F9-95BF-7DA2FE061D89}" name="Australie" dataDxfId="30" dataCellStyle="Pourcentage"/>
    <tableColumn id="32" xr3:uid="{5399BF12-1306-43D3-BE9F-9F48E0E1B9A2}" name="Suède" dataDxfId="29" dataCellStyle="Pourcentage"/>
    <tableColumn id="33" xr3:uid="{6463C7F9-EA3F-44A6-AA72-65967D6ED2C5}" name="Suisse" dataDxfId="28" dataCellStyle="Pourcentage"/>
    <tableColumn id="34" xr3:uid="{5014923F-65AC-4C3A-8B9A-0CF878DB01CF}" name="Chine" dataDxfId="27" dataCellStyle="Pourcentage"/>
    <tableColumn id="35" xr3:uid="{524BC43D-A36B-44D1-9160-171BC2603CCB}" name="Israel" dataDxfId="26" dataCellStyle="Pourcentage"/>
    <tableColumn id="36" xr3:uid="{44198B90-47C4-48EC-B797-784444C31921}" name="Allemagne" dataDxfId="25" dataCellStyle="Pourcentage"/>
    <tableColumn id="15" xr3:uid="{C7668AAE-3655-4FA8-B4F9-BCADEE038460}" name="Nouvelle Zelande" dataDxfId="24" dataCellStyle="Pourcentage"/>
    <tableColumn id="37" xr3:uid="{06A23BFC-854D-45E2-9F8D-DF0309998849}" name="Pays-Bas" dataDxfId="23" dataCellStyle="Pourcentage"/>
    <tableColumn id="38" xr3:uid="{88236FDE-0F45-4195-A6FA-A8B2A7FC370E}" name="Irlande" dataDxfId="22" dataCellStyle="Pourcentage"/>
    <tableColumn id="39" xr3:uid="{68B7FB4A-87F3-483F-836D-FE77C7CAE622}" name="Espagne" dataDxfId="21" dataCellStyle="Pourcentage"/>
    <tableColumn id="40" xr3:uid="{F0EA963C-8623-4084-ABC1-802DDF745617}" name="Italie" dataDxfId="20" dataCellStyle="Pourcentage"/>
    <tableColumn id="41" xr3:uid="{0221ACEA-33F8-4543-A23A-827595C7CCB0}" name="France" dataDxfId="19" dataCellStyle="Pourcentage"/>
    <tableColumn id="42" xr3:uid="{0D03D1A7-7CE8-44CA-93B9-C72201AE9C3A}" name="Autre Pays" dataDxfId="18" dataCellStyle="Pourcentage">
      <calculatedColumnFormula>1-SUM(Positions_Table[[#This Row],[USA]:[France]])</calculatedColumnFormula>
    </tableColumn>
    <tableColumn id="12" xr3:uid="{E8A10A15-6AF7-4AED-8D48-84F2430242AD}" name="Etats" dataDxfId="17" dataCellStyle="Pourcentage"/>
    <tableColumn id="43" xr3:uid="{6955AA95-535B-44A3-8AF4-B11772CCEC11}" name="Industrie" dataDxfId="16" dataCellStyle="Pourcentage"/>
    <tableColumn id="44" xr3:uid="{A7BAD2C0-BC3C-46DB-8E5A-3BE52A972AD6}" name="Finance" dataDxfId="15" dataCellStyle="Pourcentage"/>
    <tableColumn id="45" xr3:uid="{3DB05494-787F-4791-A91B-F369F50BBCCB}" name="Consommation Cyclique" dataDxfId="14" dataCellStyle="Pourcentage"/>
    <tableColumn id="46" xr3:uid="{F5C5A897-2233-4236-B3B7-E98C0463CFE4}" name="Technologie" dataDxfId="13" dataCellStyle="Pourcentage"/>
    <tableColumn id="47" xr3:uid="{7D6BF6C7-9321-4F09-90B7-7311F503679F}" name="Santé" dataDxfId="12" dataCellStyle="Pourcentage"/>
    <tableColumn id="48" xr3:uid="{5D3E894A-3096-4EA9-97C3-DFF59CAA3A4C}" name="Consommation Defensive" dataDxfId="11" dataCellStyle="Pourcentage"/>
    <tableColumn id="49" xr3:uid="{D0B88430-3160-4BDD-AB88-A9F602474AA9}" name="Communication" dataDxfId="10" dataCellStyle="Pourcentage"/>
    <tableColumn id="50" xr3:uid="{501FB8AA-B04A-4A94-8BBB-4C34328AAA84}" name="Immobilier" dataDxfId="9" dataCellStyle="Pourcentage"/>
    <tableColumn id="51" xr3:uid="{A5919E93-9304-4E17-A494-9128A62A945A}" name="Matières Premières" dataDxfId="8" dataCellStyle="Pourcentage"/>
    <tableColumn id="52" xr3:uid="{F372531A-CF59-477D-9101-9FB12A792FD8}" name="Energie" dataDxfId="7" dataCellStyle="Pourcentage"/>
    <tableColumn id="53" xr3:uid="{226F2DAA-00FC-4F33-882E-E3C0D0AD09E4}" name="Service Publiques" dataDxfId="6" dataCellStyle="Pourcentage"/>
    <tableColumn id="54" xr3:uid="{1F5E8F7F-9A58-42E2-B030-CA9DF7E64D42}" name="Services de consommation" dataDxfId="5" dataCellStyle="Pourcentage"/>
    <tableColumn id="55" xr3:uid="{1F6AF787-17DE-46E8-8043-8BDFE7A058AA}" name="Autre Secteur" dataDxfId="4" dataCellStyle="Pourcentage"/>
    <tableColumn id="5" xr3:uid="{EA190F4F-1407-4E0D-B8BC-03F8CD3E18A6}" name="Etats2" dataDxfId="3" dataCellStyle="Pourcentage"/>
    <tableColumn id="6" xr3:uid="{850A99C9-2711-4F88-A870-7A34AC929224}" name="Banque Emetteur" dataDxfId="2" dataCellStyle="Pourcentage"/>
    <tableColumn id="7" xr3:uid="{46B551DF-86C3-4BF8-8B6D-CF11DD3FAD6D}" name="Entreprises" dataDxfId="1" dataCellStyle="Pourcentage"/>
    <tableColumn id="8" xr3:uid="{BDA4CC87-C5E8-49D4-A62C-D030726D1728}" name="Autre Emetteur" dataDxfId="0" dataCellStyle="Pou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"/>
  <sheetViews>
    <sheetView tabSelected="1" workbookViewId="0">
      <selection activeCell="E16" sqref="E16"/>
    </sheetView>
  </sheetViews>
  <sheetFormatPr baseColWidth="10" defaultColWidth="8.7265625" defaultRowHeight="14.5" x14ac:dyDescent="0.35"/>
  <cols>
    <col min="1" max="1" width="13.453125" bestFit="1" customWidth="1"/>
    <col min="2" max="2" width="14.26953125" bestFit="1" customWidth="1"/>
    <col min="3" max="3" width="17.1796875" bestFit="1" customWidth="1"/>
    <col min="4" max="4" width="67.81640625" customWidth="1"/>
    <col min="5" max="5" width="36.54296875" bestFit="1" customWidth="1"/>
    <col min="6" max="6" width="23.36328125" bestFit="1" customWidth="1"/>
    <col min="7" max="8" width="23.36328125" customWidth="1"/>
    <col min="9" max="9" width="14.54296875" style="5" bestFit="1" customWidth="1"/>
    <col min="10" max="10" width="16.7265625" bestFit="1" customWidth="1"/>
    <col min="12" max="12" width="13.1796875" bestFit="1" customWidth="1"/>
    <col min="13" max="13" width="13.1796875" customWidth="1"/>
    <col min="14" max="14" width="14.26953125" bestFit="1" customWidth="1"/>
    <col min="15" max="15" width="13.6328125" customWidth="1"/>
    <col min="20" max="20" width="13.36328125" customWidth="1"/>
    <col min="22" max="22" width="28.54296875" bestFit="1" customWidth="1"/>
    <col min="34" max="34" width="13.36328125" bestFit="1" customWidth="1"/>
    <col min="35" max="35" width="11.7265625" bestFit="1" customWidth="1"/>
    <col min="36" max="36" width="11.7265625" customWidth="1"/>
    <col min="37" max="37" width="20.453125" bestFit="1" customWidth="1"/>
    <col min="38" max="38" width="9.26953125" bestFit="1" customWidth="1"/>
    <col min="39" max="39" width="14.7265625" bestFit="1" customWidth="1"/>
    <col min="40" max="40" width="22.6328125" bestFit="1" customWidth="1"/>
    <col min="41" max="41" width="26.6328125" bestFit="1" customWidth="1"/>
    <col min="42" max="42" width="14.26953125" bestFit="1" customWidth="1"/>
    <col min="43" max="43" width="17.90625" bestFit="1" customWidth="1"/>
    <col min="44" max="44" width="11" bestFit="1" customWidth="1"/>
    <col min="45" max="45" width="11.7265625" bestFit="1" customWidth="1"/>
    <col min="46" max="46" width="16.453125" bestFit="1" customWidth="1"/>
    <col min="47" max="47" width="11.26953125" bestFit="1" customWidth="1"/>
    <col min="49" max="49" width="16.81640625" bestFit="1" customWidth="1"/>
    <col min="50" max="50" width="10.6328125" bestFit="1" customWidth="1"/>
    <col min="51" max="51" width="20.08984375" bestFit="1" customWidth="1"/>
    <col min="52" max="52" width="14.81640625" bestFit="1" customWidth="1"/>
    <col min="53" max="53" width="18.453125" bestFit="1" customWidth="1"/>
    <col min="54" max="54" width="36.54296875" bestFit="1" customWidth="1"/>
  </cols>
  <sheetData>
    <row r="1" spans="1:54" x14ac:dyDescent="0.35">
      <c r="A1" t="s">
        <v>50</v>
      </c>
      <c r="B1" t="s">
        <v>33</v>
      </c>
      <c r="C1" t="s">
        <v>34</v>
      </c>
      <c r="D1" t="s">
        <v>1</v>
      </c>
      <c r="E1" t="s">
        <v>2</v>
      </c>
      <c r="F1" s="2" t="s">
        <v>51</v>
      </c>
      <c r="G1" s="2" t="s">
        <v>17</v>
      </c>
      <c r="H1" s="2" t="s">
        <v>47</v>
      </c>
      <c r="I1" s="4" t="s">
        <v>46</v>
      </c>
      <c r="J1" s="2" t="s">
        <v>42</v>
      </c>
      <c r="K1" s="2" t="s">
        <v>36</v>
      </c>
      <c r="L1" s="2" t="s">
        <v>54</v>
      </c>
      <c r="M1" s="2" t="s">
        <v>53</v>
      </c>
      <c r="N1" s="2" t="s">
        <v>52</v>
      </c>
      <c r="O1" s="2" t="s">
        <v>55</v>
      </c>
      <c r="P1" s="2" t="s">
        <v>56</v>
      </c>
      <c r="Q1" s="2" t="s">
        <v>57</v>
      </c>
      <c r="R1" s="2" t="s">
        <v>37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38</v>
      </c>
      <c r="AB1" s="2" t="s">
        <v>66</v>
      </c>
      <c r="AC1" s="2" t="s">
        <v>48</v>
      </c>
      <c r="AD1" s="2" t="s">
        <v>67</v>
      </c>
      <c r="AE1" s="2" t="s">
        <v>39</v>
      </c>
      <c r="AF1" s="2" t="s">
        <v>68</v>
      </c>
      <c r="AG1" s="2" t="s">
        <v>69</v>
      </c>
      <c r="AH1" s="2" t="s">
        <v>40</v>
      </c>
      <c r="AI1" s="2" t="s">
        <v>70</v>
      </c>
      <c r="AJ1" s="2" t="s">
        <v>43</v>
      </c>
      <c r="AK1" s="2" t="s">
        <v>71</v>
      </c>
      <c r="AL1" s="2" t="s">
        <v>41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49</v>
      </c>
      <c r="AX1" s="2" t="s">
        <v>45</v>
      </c>
      <c r="AY1" s="2" t="s">
        <v>82</v>
      </c>
      <c r="AZ1" s="2" t="s">
        <v>44</v>
      </c>
      <c r="BA1" s="2" t="s">
        <v>83</v>
      </c>
      <c r="BB1" s="2" t="s">
        <v>84</v>
      </c>
    </row>
    <row r="2" spans="1:54" x14ac:dyDescent="0.35">
      <c r="A2" t="s">
        <v>35</v>
      </c>
      <c r="B2" t="s">
        <v>85</v>
      </c>
      <c r="C2" t="s">
        <v>95</v>
      </c>
      <c r="D2" t="s">
        <v>113</v>
      </c>
      <c r="E2" t="s">
        <v>97</v>
      </c>
      <c r="F2" t="s">
        <v>114</v>
      </c>
      <c r="G2" t="s">
        <v>26</v>
      </c>
      <c r="I2" s="5">
        <v>47118</v>
      </c>
      <c r="J2" t="s">
        <v>115</v>
      </c>
      <c r="K2" s="7">
        <v>1.1999999999999999E-3</v>
      </c>
      <c r="L2" t="s">
        <v>116</v>
      </c>
      <c r="M2" t="s">
        <v>117</v>
      </c>
      <c r="O2">
        <v>2312</v>
      </c>
      <c r="P2">
        <v>50</v>
      </c>
      <c r="R2" s="8">
        <v>0.18</v>
      </c>
      <c r="S2" s="8"/>
      <c r="T2" s="8">
        <v>0.08</v>
      </c>
      <c r="U2" s="8"/>
      <c r="V2" s="8"/>
      <c r="W2" s="8"/>
      <c r="X2" s="8">
        <v>0.05</v>
      </c>
      <c r="Y2" s="8">
        <v>0.03</v>
      </c>
      <c r="Z2" s="8"/>
      <c r="AA2" s="8"/>
      <c r="AB2" s="8">
        <v>0.15</v>
      </c>
      <c r="AC2" s="8"/>
      <c r="AD2" s="8">
        <v>0.05</v>
      </c>
      <c r="AE2" s="8"/>
      <c r="AF2" s="8">
        <v>0.05</v>
      </c>
      <c r="AG2" s="8">
        <v>0.04</v>
      </c>
      <c r="AH2" s="8">
        <v>0.19</v>
      </c>
      <c r="AI2" s="8">
        <f>1-SUM(Positions_Table[[#This Row],[USA]:[France]])</f>
        <v>0.17999999999999994</v>
      </c>
      <c r="AJ2" s="8"/>
      <c r="AK2" s="8">
        <v>0.73</v>
      </c>
      <c r="AL2" s="8">
        <v>0.27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>
        <v>1</v>
      </c>
      <c r="BA2" s="8"/>
      <c r="BB2" t="s">
        <v>97</v>
      </c>
    </row>
    <row r="3" spans="1:54" x14ac:dyDescent="0.35">
      <c r="A3" t="s">
        <v>35</v>
      </c>
      <c r="B3" t="s">
        <v>86</v>
      </c>
      <c r="C3" t="s">
        <v>95</v>
      </c>
      <c r="D3" t="s">
        <v>119</v>
      </c>
      <c r="E3" t="s">
        <v>98</v>
      </c>
      <c r="F3" t="s">
        <v>114</v>
      </c>
      <c r="G3" t="s">
        <v>26</v>
      </c>
      <c r="I3" s="5">
        <v>46752</v>
      </c>
      <c r="J3" t="s">
        <v>115</v>
      </c>
      <c r="K3" s="7">
        <v>1.1999999999999999E-3</v>
      </c>
      <c r="L3" t="s">
        <v>120</v>
      </c>
      <c r="M3" t="s">
        <v>117</v>
      </c>
      <c r="O3">
        <v>10</v>
      </c>
      <c r="P3">
        <v>98</v>
      </c>
      <c r="R3" s="8">
        <v>0.2</v>
      </c>
      <c r="S3" s="8"/>
      <c r="T3" s="8">
        <v>0.08</v>
      </c>
      <c r="U3" s="8"/>
      <c r="V3" s="8"/>
      <c r="W3" s="8"/>
      <c r="X3" s="8">
        <v>0.03</v>
      </c>
      <c r="Y3" s="8"/>
      <c r="Z3" s="8"/>
      <c r="AA3" s="8"/>
      <c r="AB3" s="8">
        <v>0.2</v>
      </c>
      <c r="AC3" s="8"/>
      <c r="AD3" s="8">
        <v>0.02</v>
      </c>
      <c r="AE3" s="8"/>
      <c r="AF3" s="8">
        <v>0.05</v>
      </c>
      <c r="AG3" s="8">
        <v>0.06</v>
      </c>
      <c r="AH3" s="8">
        <v>0.22</v>
      </c>
      <c r="AI3" s="8">
        <f>1-SUM(Positions_Table[[#This Row],[USA]:[France]])</f>
        <v>0.1399999999999999</v>
      </c>
      <c r="AJ3" s="8"/>
      <c r="AK3" s="8">
        <v>0.73</v>
      </c>
      <c r="AL3" s="8">
        <v>0.27</v>
      </c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>
        <v>1</v>
      </c>
      <c r="BA3" s="8"/>
      <c r="BB3" t="s">
        <v>98</v>
      </c>
    </row>
    <row r="4" spans="1:54" x14ac:dyDescent="0.35">
      <c r="A4" t="s">
        <v>35</v>
      </c>
      <c r="B4" t="s">
        <v>87</v>
      </c>
      <c r="C4" t="s">
        <v>95</v>
      </c>
      <c r="D4" t="s">
        <v>121</v>
      </c>
      <c r="E4" t="s">
        <v>99</v>
      </c>
      <c r="F4" t="s">
        <v>114</v>
      </c>
      <c r="G4" t="s">
        <v>26</v>
      </c>
      <c r="I4" s="5">
        <f ca="1">+TODAY()+750</f>
        <v>46833</v>
      </c>
      <c r="J4" t="s">
        <v>115</v>
      </c>
      <c r="K4" s="7">
        <v>1.1999999999999999E-3</v>
      </c>
      <c r="L4" t="s">
        <v>116</v>
      </c>
      <c r="M4" t="s">
        <v>117</v>
      </c>
      <c r="O4">
        <v>3857</v>
      </c>
      <c r="P4">
        <v>100</v>
      </c>
      <c r="R4" s="8">
        <v>0.16</v>
      </c>
      <c r="S4" s="8"/>
      <c r="T4" s="8">
        <v>0.08</v>
      </c>
      <c r="U4" s="8"/>
      <c r="V4" s="8"/>
      <c r="W4" s="8"/>
      <c r="X4" s="8">
        <v>0.04</v>
      </c>
      <c r="Y4" s="8">
        <v>0.04</v>
      </c>
      <c r="Z4" s="8"/>
      <c r="AA4" s="8"/>
      <c r="AB4" s="8">
        <v>0.13</v>
      </c>
      <c r="AC4" s="8"/>
      <c r="AD4" s="8">
        <v>0.06</v>
      </c>
      <c r="AE4" s="8"/>
      <c r="AF4" s="8">
        <v>0.08</v>
      </c>
      <c r="AG4" s="8">
        <v>0.05</v>
      </c>
      <c r="AH4" s="8">
        <v>0.19</v>
      </c>
      <c r="AI4" s="8">
        <f>1-SUM(Positions_Table[[#This Row],[USA]:[France]])</f>
        <v>0.16999999999999993</v>
      </c>
      <c r="AJ4" s="8"/>
      <c r="AK4" s="8">
        <v>0.51</v>
      </c>
      <c r="AL4" s="8">
        <v>0.49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>
        <v>1</v>
      </c>
      <c r="BA4" s="8"/>
      <c r="BB4" t="s">
        <v>99</v>
      </c>
    </row>
    <row r="5" spans="1:54" x14ac:dyDescent="0.35">
      <c r="A5" t="s">
        <v>35</v>
      </c>
      <c r="B5" t="s">
        <v>88</v>
      </c>
      <c r="C5" t="s">
        <v>95</v>
      </c>
      <c r="D5" t="s">
        <v>123</v>
      </c>
      <c r="E5" t="s">
        <v>100</v>
      </c>
      <c r="F5" t="s">
        <v>114</v>
      </c>
      <c r="G5" t="s">
        <v>26</v>
      </c>
      <c r="I5" s="5">
        <f ca="1">+TODAY()+(7*365)</f>
        <v>48638</v>
      </c>
      <c r="J5" t="s">
        <v>115</v>
      </c>
      <c r="K5" s="7">
        <v>1.1999999999999999E-3</v>
      </c>
      <c r="L5" t="s">
        <v>120</v>
      </c>
      <c r="O5">
        <v>519</v>
      </c>
      <c r="P5">
        <v>50</v>
      </c>
      <c r="Q5" t="s">
        <v>124</v>
      </c>
      <c r="R5" s="8">
        <v>1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>
        <f>1-SUM(Positions_Table[[#This Row],[USA]:[France]])</f>
        <v>0</v>
      </c>
      <c r="AJ5" s="8">
        <v>1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>
        <v>1</v>
      </c>
      <c r="AY5" s="8"/>
      <c r="AZ5" s="8"/>
      <c r="BA5" s="8"/>
      <c r="BB5" t="s">
        <v>100</v>
      </c>
    </row>
    <row r="6" spans="1:54" x14ac:dyDescent="0.35">
      <c r="A6" t="s">
        <v>95</v>
      </c>
      <c r="B6" t="s">
        <v>89</v>
      </c>
      <c r="C6" t="s">
        <v>95</v>
      </c>
      <c r="D6" t="s">
        <v>126</v>
      </c>
      <c r="E6" t="s">
        <v>101</v>
      </c>
      <c r="G6" t="s">
        <v>122</v>
      </c>
      <c r="H6" s="7">
        <v>1.7500000000000002E-2</v>
      </c>
      <c r="I6" s="5">
        <v>46248</v>
      </c>
      <c r="J6" t="s">
        <v>115</v>
      </c>
      <c r="K6" s="7"/>
      <c r="L6" t="s">
        <v>132</v>
      </c>
      <c r="R6" s="8"/>
      <c r="S6" s="8"/>
      <c r="T6" s="8"/>
      <c r="U6" s="8"/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>
        <f>1-SUM(Positions_Table[[#This Row],[USA]:[France]])</f>
        <v>0</v>
      </c>
      <c r="AJ6" s="8">
        <v>0.5</v>
      </c>
      <c r="AK6" s="8">
        <v>0.5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>
        <v>0.5</v>
      </c>
      <c r="AY6" s="8"/>
      <c r="AZ6" s="8">
        <v>0.5</v>
      </c>
      <c r="BA6" s="8"/>
      <c r="BB6" t="s">
        <v>101</v>
      </c>
    </row>
    <row r="7" spans="1:54" x14ac:dyDescent="0.35">
      <c r="A7" t="s">
        <v>95</v>
      </c>
      <c r="B7" t="s">
        <v>90</v>
      </c>
      <c r="C7" t="s">
        <v>95</v>
      </c>
      <c r="D7" t="s">
        <v>125</v>
      </c>
      <c r="E7" t="s">
        <v>102</v>
      </c>
      <c r="G7" t="s">
        <v>122</v>
      </c>
      <c r="H7" s="7">
        <v>2.375E-2</v>
      </c>
      <c r="I7" s="5">
        <v>46531</v>
      </c>
      <c r="J7" t="s">
        <v>115</v>
      </c>
      <c r="K7" s="7"/>
      <c r="L7" t="s">
        <v>132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>
        <f>1-SUM(Positions_Table[[#This Row],[USA]:[France]])</f>
        <v>1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>
        <v>0.5</v>
      </c>
      <c r="AY7" s="8"/>
      <c r="AZ7" s="8">
        <v>0.5</v>
      </c>
      <c r="BA7" s="8"/>
      <c r="BB7" t="s">
        <v>102</v>
      </c>
    </row>
    <row r="8" spans="1:54" x14ac:dyDescent="0.35">
      <c r="A8" t="s">
        <v>95</v>
      </c>
      <c r="B8" t="s">
        <v>91</v>
      </c>
      <c r="C8" t="s">
        <v>95</v>
      </c>
      <c r="D8" t="s">
        <v>127</v>
      </c>
      <c r="E8" t="s">
        <v>103</v>
      </c>
      <c r="G8" t="s">
        <v>122</v>
      </c>
      <c r="H8" s="7">
        <v>3.7499999999999999E-3</v>
      </c>
      <c r="I8" s="5">
        <v>46599</v>
      </c>
      <c r="J8" t="s">
        <v>115</v>
      </c>
      <c r="K8" s="7"/>
      <c r="L8" t="s">
        <v>132</v>
      </c>
      <c r="R8" s="8">
        <v>1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>
        <f>1-SUM(Positions_Table[[#This Row],[USA]:[France]])</f>
        <v>0</v>
      </c>
      <c r="AJ8" s="8">
        <v>1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>
        <v>1</v>
      </c>
      <c r="AY8" s="8"/>
      <c r="AZ8" s="8"/>
      <c r="BA8" s="8"/>
      <c r="BB8" t="s">
        <v>103</v>
      </c>
    </row>
    <row r="9" spans="1:54" x14ac:dyDescent="0.35">
      <c r="A9" t="s">
        <v>95</v>
      </c>
      <c r="B9" t="s">
        <v>92</v>
      </c>
      <c r="C9" t="s">
        <v>95</v>
      </c>
      <c r="D9" t="s">
        <v>128</v>
      </c>
      <c r="E9" t="s">
        <v>104</v>
      </c>
      <c r="G9" t="s">
        <v>130</v>
      </c>
      <c r="H9" s="7">
        <v>2.5000000000000001E-3</v>
      </c>
      <c r="I9" s="5">
        <v>46888</v>
      </c>
      <c r="J9" t="s">
        <v>115</v>
      </c>
      <c r="K9" s="7"/>
      <c r="L9" t="s">
        <v>132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>
        <v>1</v>
      </c>
      <c r="AD9" s="8"/>
      <c r="AE9" s="8"/>
      <c r="AF9" s="8"/>
      <c r="AG9" s="8"/>
      <c r="AH9" s="8"/>
      <c r="AI9" s="8">
        <f>1-SUM(Positions_Table[[#This Row],[USA]:[France]])</f>
        <v>0</v>
      </c>
      <c r="AJ9" s="8">
        <v>1</v>
      </c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>
        <v>1</v>
      </c>
      <c r="AY9" s="8"/>
      <c r="AZ9" s="8"/>
      <c r="BA9" s="8"/>
      <c r="BB9" t="s">
        <v>104</v>
      </c>
    </row>
    <row r="10" spans="1:54" x14ac:dyDescent="0.35">
      <c r="A10" t="s">
        <v>95</v>
      </c>
      <c r="B10" t="s">
        <v>93</v>
      </c>
      <c r="C10" t="s">
        <v>95</v>
      </c>
      <c r="D10" t="s">
        <v>129</v>
      </c>
      <c r="E10" t="s">
        <v>105</v>
      </c>
      <c r="G10" t="s">
        <v>130</v>
      </c>
      <c r="H10" s="7">
        <v>5.0000000000000001E-3</v>
      </c>
      <c r="I10" s="5">
        <v>46157</v>
      </c>
      <c r="J10" t="s">
        <v>115</v>
      </c>
      <c r="K10" s="7"/>
      <c r="L10" t="s">
        <v>132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>
        <v>1</v>
      </c>
      <c r="AD10" s="8"/>
      <c r="AE10" s="8"/>
      <c r="AF10" s="8"/>
      <c r="AG10" s="8"/>
      <c r="AH10" s="8"/>
      <c r="AI10" s="8">
        <f>1-SUM(Positions_Table[[#This Row],[USA]:[France]])</f>
        <v>0</v>
      </c>
      <c r="AJ10" s="8">
        <v>1</v>
      </c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>
        <v>1</v>
      </c>
      <c r="AY10" s="8"/>
      <c r="AZ10" s="8"/>
      <c r="BA10" s="8"/>
      <c r="BB10" t="s">
        <v>105</v>
      </c>
    </row>
    <row r="11" spans="1:54" x14ac:dyDescent="0.35">
      <c r="A11" t="s">
        <v>96</v>
      </c>
      <c r="B11" t="s">
        <v>94</v>
      </c>
      <c r="C11" t="s">
        <v>95</v>
      </c>
      <c r="D11" t="s">
        <v>131</v>
      </c>
      <c r="E11" t="s">
        <v>106</v>
      </c>
      <c r="G11" t="s">
        <v>26</v>
      </c>
      <c r="I11" s="5">
        <f ca="1">+TODAY()+(4*365)</f>
        <v>47543</v>
      </c>
      <c r="J11" t="s">
        <v>115</v>
      </c>
      <c r="K11" s="7">
        <v>1.23E-2</v>
      </c>
      <c r="L11" t="s">
        <v>132</v>
      </c>
      <c r="O11">
        <v>424</v>
      </c>
      <c r="P11">
        <v>206</v>
      </c>
      <c r="R11" s="8">
        <v>0.09</v>
      </c>
      <c r="S11" s="8"/>
      <c r="T11" s="8">
        <v>7.0000000000000007E-2</v>
      </c>
      <c r="U11" s="8"/>
      <c r="V11" s="8"/>
      <c r="W11" s="8"/>
      <c r="X11" s="8">
        <v>0.03</v>
      </c>
      <c r="Y11" s="8"/>
      <c r="Z11" s="8"/>
      <c r="AA11" s="8"/>
      <c r="AB11" s="8">
        <v>0.19</v>
      </c>
      <c r="AC11" s="8"/>
      <c r="AD11" s="8">
        <v>0.03</v>
      </c>
      <c r="AE11" s="8"/>
      <c r="AF11" s="8">
        <v>0.11</v>
      </c>
      <c r="AG11" s="8">
        <v>0.1</v>
      </c>
      <c r="AH11" s="8">
        <v>0.18</v>
      </c>
      <c r="AI11" s="8">
        <f>1-SUM(Positions_Table[[#This Row],[USA]:[France]])</f>
        <v>0.19999999999999996</v>
      </c>
      <c r="AJ11" s="8"/>
      <c r="AK11" s="8">
        <v>0.5</v>
      </c>
      <c r="AL11" s="8">
        <v>0.5</v>
      </c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>
        <v>0.5</v>
      </c>
      <c r="AZ11" s="8">
        <v>0.5</v>
      </c>
      <c r="BA11" s="8"/>
      <c r="BB11" t="s">
        <v>106</v>
      </c>
    </row>
    <row r="12" spans="1:54" x14ac:dyDescent="0.35">
      <c r="A12" t="s">
        <v>35</v>
      </c>
      <c r="B12" t="s">
        <v>107</v>
      </c>
      <c r="C12" t="s">
        <v>95</v>
      </c>
      <c r="D12" t="s">
        <v>118</v>
      </c>
      <c r="E12" t="s">
        <v>109</v>
      </c>
      <c r="G12" t="s">
        <v>26</v>
      </c>
      <c r="I12" s="5">
        <v>46752</v>
      </c>
      <c r="J12" t="s">
        <v>115</v>
      </c>
      <c r="K12" s="7">
        <v>1.1999999999999999E-3</v>
      </c>
      <c r="L12" t="s">
        <v>132</v>
      </c>
      <c r="O12">
        <v>1.93</v>
      </c>
      <c r="P12">
        <v>100</v>
      </c>
      <c r="R12" s="8">
        <v>0.19</v>
      </c>
      <c r="S12" s="8"/>
      <c r="T12" s="8">
        <v>7.0000000000000007E-2</v>
      </c>
      <c r="U12" s="8"/>
      <c r="V12" s="8"/>
      <c r="W12" s="8"/>
      <c r="X12" s="8">
        <v>0.04</v>
      </c>
      <c r="Y12" s="8"/>
      <c r="Z12" s="8"/>
      <c r="AA12" s="8"/>
      <c r="AB12" s="8">
        <v>0.18</v>
      </c>
      <c r="AC12" s="8"/>
      <c r="AD12" s="8">
        <v>0.04</v>
      </c>
      <c r="AE12" s="8"/>
      <c r="AF12" s="8">
        <v>0.06</v>
      </c>
      <c r="AG12" s="8">
        <v>0.06</v>
      </c>
      <c r="AH12" s="8">
        <v>0.2</v>
      </c>
      <c r="AI12" s="8">
        <f>1-SUM(Positions_Table[[#This Row],[USA]:[France]])</f>
        <v>0.15999999999999992</v>
      </c>
      <c r="AJ12" s="8"/>
      <c r="AK12" s="8">
        <v>0.5</v>
      </c>
      <c r="AL12" s="8">
        <v>0.5</v>
      </c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>
        <v>0.5</v>
      </c>
      <c r="AZ12" s="8">
        <v>0.5</v>
      </c>
      <c r="BA12" s="8"/>
      <c r="BB12" t="s">
        <v>109</v>
      </c>
    </row>
    <row r="13" spans="1:54" x14ac:dyDescent="0.35">
      <c r="A13" t="s">
        <v>35</v>
      </c>
      <c r="B13" t="s">
        <v>108</v>
      </c>
      <c r="C13" t="s">
        <v>95</v>
      </c>
      <c r="D13" t="s">
        <v>133</v>
      </c>
      <c r="E13" t="s">
        <v>110</v>
      </c>
      <c r="G13" t="s">
        <v>26</v>
      </c>
      <c r="I13" s="5">
        <v>47483</v>
      </c>
      <c r="J13" t="s">
        <v>115</v>
      </c>
      <c r="K13" s="7">
        <v>1.1999999999999999E-3</v>
      </c>
      <c r="L13" t="s">
        <v>132</v>
      </c>
      <c r="O13">
        <v>3.86</v>
      </c>
      <c r="P13">
        <v>100</v>
      </c>
      <c r="R13" s="8">
        <v>0.2</v>
      </c>
      <c r="S13" s="8"/>
      <c r="T13" s="8">
        <v>7.0000000000000007E-2</v>
      </c>
      <c r="U13" s="8"/>
      <c r="V13" s="8"/>
      <c r="W13" s="8"/>
      <c r="X13" s="8">
        <v>0.05</v>
      </c>
      <c r="Y13" s="8"/>
      <c r="Z13" s="8"/>
      <c r="AA13" s="8"/>
      <c r="AB13" s="8">
        <v>0.16</v>
      </c>
      <c r="AC13" s="8"/>
      <c r="AD13" s="8">
        <v>0.03</v>
      </c>
      <c r="AE13" s="8"/>
      <c r="AF13" s="8">
        <v>0.05</v>
      </c>
      <c r="AG13" s="8">
        <v>0.04</v>
      </c>
      <c r="AH13" s="8">
        <v>0.21</v>
      </c>
      <c r="AI13" s="8">
        <f>1-SUM(Positions_Table[[#This Row],[USA]:[France]])</f>
        <v>0.18999999999999995</v>
      </c>
      <c r="AJ13" s="8"/>
      <c r="AK13" s="8">
        <v>0.5</v>
      </c>
      <c r="AL13" s="8">
        <v>0.5</v>
      </c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>
        <v>0.5</v>
      </c>
      <c r="AZ13" s="8">
        <v>0.5</v>
      </c>
      <c r="BA13" s="8"/>
      <c r="BB13" t="s">
        <v>110</v>
      </c>
    </row>
    <row r="14" spans="1:54" x14ac:dyDescent="0.35">
      <c r="A14" t="s">
        <v>96</v>
      </c>
      <c r="B14" t="s">
        <v>111</v>
      </c>
      <c r="C14" t="s">
        <v>95</v>
      </c>
      <c r="D14" t="s">
        <v>134</v>
      </c>
      <c r="E14" t="s">
        <v>112</v>
      </c>
      <c r="G14" t="s">
        <v>26</v>
      </c>
      <c r="I14" s="5">
        <f ca="1">+TODAY()+(6*365)</f>
        <v>48273</v>
      </c>
      <c r="J14" t="s">
        <v>115</v>
      </c>
      <c r="K14" s="7">
        <v>1.5599999999999999E-2</v>
      </c>
      <c r="L14" t="s">
        <v>132</v>
      </c>
      <c r="O14">
        <v>6</v>
      </c>
      <c r="P14">
        <v>100</v>
      </c>
      <c r="R14" s="8">
        <v>0.57999999999999996</v>
      </c>
      <c r="S14" s="8"/>
      <c r="T14" s="8">
        <v>0.08</v>
      </c>
      <c r="U14" s="8"/>
      <c r="V14" s="8"/>
      <c r="W14" s="8"/>
      <c r="X14" s="8">
        <v>0.02</v>
      </c>
      <c r="Y14" s="8"/>
      <c r="Z14" s="8"/>
      <c r="AA14" s="8"/>
      <c r="AB14" s="8">
        <v>0.03</v>
      </c>
      <c r="AC14" s="8"/>
      <c r="AD14" s="8">
        <v>0.03</v>
      </c>
      <c r="AE14" s="8"/>
      <c r="AF14" s="8">
        <v>0.03</v>
      </c>
      <c r="AG14" s="8"/>
      <c r="AH14" s="8">
        <v>0.04</v>
      </c>
      <c r="AI14" s="8">
        <f>1-SUM(Positions_Table[[#This Row],[USA]:[France]])</f>
        <v>0.18999999999999995</v>
      </c>
      <c r="AJ14" s="8"/>
      <c r="AK14" s="8">
        <v>1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>
        <v>1</v>
      </c>
      <c r="BA14" s="8"/>
      <c r="BB14" s="3" t="s">
        <v>112</v>
      </c>
    </row>
    <row r="15" spans="1:54" x14ac:dyDescent="0.35"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x14ac:dyDescent="0.35"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8:54" x14ac:dyDescent="0.35"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8:54" x14ac:dyDescent="0.35"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8:54" x14ac:dyDescent="0.35"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spans="18:54" x14ac:dyDescent="0.35"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spans="18:54" x14ac:dyDescent="0.35"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spans="18:54" x14ac:dyDescent="0.35"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8:54" x14ac:dyDescent="0.35"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8:54" x14ac:dyDescent="0.35"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8:54" x14ac:dyDescent="0.35"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8:54" x14ac:dyDescent="0.35"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</sheetData>
  <phoneticPr fontId="2" type="noConversion"/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265625" defaultRowHeight="14.5" x14ac:dyDescent="0.35"/>
  <sheetData>
    <row r="1" spans="1:21" x14ac:dyDescent="0.35">
      <c r="A1" t="s">
        <v>6</v>
      </c>
      <c r="B1" t="s">
        <v>7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4</v>
      </c>
      <c r="I1" t="s">
        <v>5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0</v>
      </c>
      <c r="R1" t="s">
        <v>17</v>
      </c>
      <c r="S1" t="s">
        <v>18</v>
      </c>
      <c r="T1" t="s">
        <v>19</v>
      </c>
      <c r="U1" t="s">
        <v>20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6</v>
      </c>
      <c r="B1" t="s">
        <v>21</v>
      </c>
      <c r="C1" t="s">
        <v>17</v>
      </c>
      <c r="D1" t="s">
        <v>22</v>
      </c>
      <c r="E1" t="s">
        <v>23</v>
      </c>
      <c r="F1" t="s">
        <v>24</v>
      </c>
    </row>
    <row r="2" spans="1:6" x14ac:dyDescent="0.35">
      <c r="A2" t="s">
        <v>25</v>
      </c>
      <c r="C2" t="s">
        <v>26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23</v>
      </c>
      <c r="H1" t="s">
        <v>22</v>
      </c>
      <c r="I1" t="s">
        <v>32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2026-02-07T09:35:24Z</dcterms:created>
  <dcterms:modified xsi:type="dcterms:W3CDTF">2026-03-02T09:14:14Z</dcterms:modified>
</cp:coreProperties>
</file>