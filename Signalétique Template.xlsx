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8EDCC65E-1988-4EE8-B653-1A1D1846C4CD}" xr6:coauthVersionLast="47" xr6:coauthVersionMax="47" xr10:uidLastSave="{00000000-0000-0000-0000-000000000000}"/>
  <bookViews>
    <workbookView xWindow="1440" yWindow="1440" windowWidth="34590" windowHeight="15370" xr2:uid="{00000000-000D-0000-FFFF-FFFF00000000}"/>
  </bookViews>
  <sheets>
    <sheet name="Positions" sheetId="2" r:id="rId1"/>
    <sheet name="Ordres" sheetId="3" r:id="rId2"/>
    <sheet name="Cash" sheetId="4" r:id="rId3"/>
    <sheet name="Trans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" i="2" l="1"/>
  <c r="BB3" i="2"/>
  <c r="BB4" i="2"/>
  <c r="BB5" i="2"/>
  <c r="BB6" i="2"/>
  <c r="BB7" i="2"/>
  <c r="BB8" i="2"/>
  <c r="BB9" i="2"/>
  <c r="AX2" i="2"/>
  <c r="AX3" i="2"/>
  <c r="AX4" i="2"/>
  <c r="AX5" i="2"/>
  <c r="AX6" i="2"/>
  <c r="AX7" i="2"/>
  <c r="AX8" i="2"/>
  <c r="AX9" i="2"/>
  <c r="AJ2" i="2"/>
  <c r="AJ3" i="2"/>
  <c r="AJ4" i="2"/>
  <c r="AJ5" i="2"/>
  <c r="AJ6" i="2"/>
  <c r="AJ7" i="2"/>
  <c r="AJ8" i="2"/>
  <c r="AJ9" i="2"/>
</calcChain>
</file>

<file path=xl/sharedStrings.xml><?xml version="1.0" encoding="utf-8"?>
<sst xmlns="http://schemas.openxmlformats.org/spreadsheetml/2006/main" count="161" uniqueCount="126">
  <si>
    <t>Marché</t>
  </si>
  <si>
    <t>Nom</t>
  </si>
  <si>
    <t>Symbole</t>
  </si>
  <si>
    <t>Qté</t>
  </si>
  <si>
    <t>Cours</t>
  </si>
  <si>
    <t>Variation %</t>
  </si>
  <si>
    <t>Trackers</t>
  </si>
  <si>
    <t>AMUNDI COR STOX600</t>
  </si>
  <si>
    <t>MEUD</t>
  </si>
  <si>
    <t>Fonds</t>
  </si>
  <si>
    <t>Amundi Funds Cash Eur A2 EUR</t>
  </si>
  <si>
    <t>S79702488</t>
  </si>
  <si>
    <t>Carmignac Portofolio Long-Short European Equities A</t>
  </si>
  <si>
    <t>S79702685</t>
  </si>
  <si>
    <t>GOLD BULLION SEC</t>
  </si>
  <si>
    <t>GBS</t>
  </si>
  <si>
    <t>iBds D28 Term E Ac</t>
  </si>
  <si>
    <t>B28A</t>
  </si>
  <si>
    <t>JPMorgan Investment Funds Global Income Fund A (acc) EUR</t>
  </si>
  <si>
    <t>S79703699</t>
  </si>
  <si>
    <t>Catégorie</t>
  </si>
  <si>
    <t>Statut</t>
  </si>
  <si>
    <t>Type Trans.</t>
  </si>
  <si>
    <t>Type Ordre</t>
  </si>
  <si>
    <t>Qté Exec</t>
  </si>
  <si>
    <t>Date d'exécution</t>
  </si>
  <si>
    <t>Frais</t>
  </si>
  <si>
    <t>Px Limite</t>
  </si>
  <si>
    <t>Px Stop</t>
  </si>
  <si>
    <t>Px Exec</t>
  </si>
  <si>
    <t>Dist au marché</t>
  </si>
  <si>
    <t>Devise</t>
  </si>
  <si>
    <t>Validité</t>
  </si>
  <si>
    <t>Date création</t>
  </si>
  <si>
    <t>Ref</t>
  </si>
  <si>
    <t>Sous-catégorie</t>
  </si>
  <si>
    <t>Montant</t>
  </si>
  <si>
    <t>Change</t>
  </si>
  <si>
    <t>Montant EUR</t>
  </si>
  <si>
    <t>Disponible pour négoce</t>
  </si>
  <si>
    <t>EUR</t>
  </si>
  <si>
    <t>Date</t>
  </si>
  <si>
    <t>Date valeur</t>
  </si>
  <si>
    <t>Type d'ordre</t>
  </si>
  <si>
    <t>Quantité</t>
  </si>
  <si>
    <t>Prix</t>
  </si>
  <si>
    <t>Balance devise</t>
  </si>
  <si>
    <t>LU0908500753</t>
  </si>
  <si>
    <t>LU0568620560</t>
  </si>
  <si>
    <t>FR0010149179</t>
  </si>
  <si>
    <t>LU0740858229</t>
  </si>
  <si>
    <t>GB00B00FHZ82</t>
  </si>
  <si>
    <t>IE0008UEVOE0</t>
  </si>
  <si>
    <t>Isin</t>
  </si>
  <si>
    <t>Obligation</t>
  </si>
  <si>
    <t>Actions</t>
  </si>
  <si>
    <t>Obligations</t>
  </si>
  <si>
    <t>IE00BSJCQV56</t>
  </si>
  <si>
    <t>Real Estate</t>
  </si>
  <si>
    <t>SPDR FTSE EPRA EURPEXUK REAL EST ETF</t>
  </si>
  <si>
    <t>ASIAN DEVELOP  16       1,750 140826</t>
  </si>
  <si>
    <t>US045167DR18</t>
  </si>
  <si>
    <t>Classe d'actifs</t>
  </si>
  <si>
    <t>ETF</t>
  </si>
  <si>
    <t>TER</t>
  </si>
  <si>
    <t>USA</t>
  </si>
  <si>
    <t>Israel</t>
  </si>
  <si>
    <t>Irlande</t>
  </si>
  <si>
    <t>France</t>
  </si>
  <si>
    <t>Finance</t>
  </si>
  <si>
    <t>Amundi Core Stoxx Europe 600 UCITS ETF Acc</t>
  </si>
  <si>
    <t>C</t>
  </si>
  <si>
    <t>Complète</t>
  </si>
  <si>
    <t>N</t>
  </si>
  <si>
    <t>Qualité credit</t>
  </si>
  <si>
    <t>Investment grade</t>
  </si>
  <si>
    <t>Etats</t>
  </si>
  <si>
    <t>Entreprises</t>
  </si>
  <si>
    <t>Matières premières</t>
  </si>
  <si>
    <t>Hedge Fund</t>
  </si>
  <si>
    <t xml:space="preserve">Gold Bullion </t>
  </si>
  <si>
    <t>iShares iBonds Dec 2028 Term € Corp UCITS ETF EUR (Acc) </t>
  </si>
  <si>
    <t>Mixte</t>
  </si>
  <si>
    <t>JPMorgan Investment Funds Global Income Fund A (acc) EUR  (50% action / 50% Obligations)</t>
  </si>
  <si>
    <t>Etats2</t>
  </si>
  <si>
    <t>SPDR FTSE EPRA Europe ex UK Real Estate UCITS ETF</t>
  </si>
  <si>
    <t>Date de fin</t>
  </si>
  <si>
    <t>Taux</t>
  </si>
  <si>
    <t>USD</t>
  </si>
  <si>
    <t>Nouvelle Zelande</t>
  </si>
  <si>
    <t>Autre Secteur</t>
  </si>
  <si>
    <t>Type d'instr</t>
  </si>
  <si>
    <t>Banques Dispo</t>
  </si>
  <si>
    <t>Replication</t>
  </si>
  <si>
    <t>ESG</t>
  </si>
  <si>
    <t>Cap/Dis</t>
  </si>
  <si>
    <t>Nom Long</t>
  </si>
  <si>
    <t>Taille du Fonds</t>
  </si>
  <si>
    <t>Positions</t>
  </si>
  <si>
    <t>Couverture de change</t>
  </si>
  <si>
    <t>Japon</t>
  </si>
  <si>
    <t>Grande Bretagne</t>
  </si>
  <si>
    <t>Canada</t>
  </si>
  <si>
    <t>Pays Emergeants Hors Chine et Japon</t>
  </si>
  <si>
    <t>Australie</t>
  </si>
  <si>
    <t>Suède</t>
  </si>
  <si>
    <t>Suisse</t>
  </si>
  <si>
    <t>Chine</t>
  </si>
  <si>
    <t>Allemagne</t>
  </si>
  <si>
    <t>Pays-Bas</t>
  </si>
  <si>
    <t>Espagne</t>
  </si>
  <si>
    <t>Italie</t>
  </si>
  <si>
    <t>Autre Pays</t>
  </si>
  <si>
    <t>Industrie</t>
  </si>
  <si>
    <t>Consommation Cyclique</t>
  </si>
  <si>
    <t>Technologie</t>
  </si>
  <si>
    <t>Santé</t>
  </si>
  <si>
    <t>Consommation Defensive</t>
  </si>
  <si>
    <t>Communication</t>
  </si>
  <si>
    <t>Immobilier</t>
  </si>
  <si>
    <t>Matières Premières</t>
  </si>
  <si>
    <t>Energie</t>
  </si>
  <si>
    <t>Service Publiques</t>
  </si>
  <si>
    <t>Services de consommation</t>
  </si>
  <si>
    <t>Banque Emetteur</t>
  </si>
  <si>
    <t>Autre Emetteur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</si>
</sst>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[$EUR]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_Table" displayName="Positions_Table" ref="A1:BB9" totalsRowShown="0">
  <autoFilter ref="A1:BB9" xr:uid="{00000000-0009-0000-0100-000001000000}"/>
  <tableColumns count="54">
    <tableColumn id="1" xr3:uid="{00000000-0010-0000-0000-000001000000}" name="Type d'instr"/>
    <tableColumn id="16" xr3:uid="{94AEAA9C-01FD-4552-80C5-B58EAB6A0274}" name="Isin"/>
    <tableColumn id="18" xr3:uid="{937F896E-58F8-4868-B80F-BFBBD02E1A67}" name="Classe d'actifs"/>
    <tableColumn id="3" xr3:uid="{00000000-0010-0000-0000-000003000000}" name="Nom"/>
    <tableColumn id="17" xr3:uid="{A38B70B5-75C6-42AE-B07E-39155C78ACA7}" name="Nom Long"/>
    <tableColumn id="4" xr3:uid="{00000000-0010-0000-0000-000004000000}" name="Symbole"/>
    <tableColumn id="19" xr3:uid="{042E1319-717D-42EB-9B03-27CBCD2720D8}" name="Banques Dispo"/>
    <tableColumn id="14" xr3:uid="{2DA23C43-437A-4010-B4D9-1DDAFDBF9426}" name="Devise"/>
    <tableColumn id="13" xr3:uid="{FD913B7B-AA05-4E5A-A570-922AA2AD4DEA}" name="Taux"/>
    <tableColumn id="57" xr3:uid="{D816C884-8520-4A17-9A92-0616BD976FD1}" name="Date de fin"/>
    <tableColumn id="2" xr3:uid="{1CDD588F-9B50-4909-86EE-EB22DA16F699}" name="Qualité credit"/>
    <tableColumn id="20" xr3:uid="{610D877A-44A8-4C25-B368-79F7B4C8B6D8}" name="TER"/>
    <tableColumn id="21" xr3:uid="{38295387-4B38-46BB-A543-74EBC82B3B79}" name="Cap/Dis"/>
    <tableColumn id="11" xr3:uid="{3AAF35B0-38D6-4114-9798-CC5EBB299325}" name="ESG"/>
    <tableColumn id="22" xr3:uid="{BFC7E6FB-55E7-4616-AB75-6BB97A6EAD10}" name="Replication"/>
    <tableColumn id="23" xr3:uid="{C54A03B2-B159-4DB7-8C75-33618236C68B}" name="Taille du Fonds"/>
    <tableColumn id="24" xr3:uid="{409CD19D-D5C7-46E4-9A0F-2E44F1DCEA5D}" name="Positions"/>
    <tableColumn id="25" xr3:uid="{FD43C04F-E932-441C-ACFE-7F8E81EA5BB7}" name="Couverture de change"/>
    <tableColumn id="27" xr3:uid="{50F2E838-79D4-4820-855D-51D8F839367D}" name="USA"/>
    <tableColumn id="28" xr3:uid="{E6A25C50-921E-4C76-AAB8-20B570C039EE}" name="Japon"/>
    <tableColumn id="29" xr3:uid="{599395A0-E0DE-49DB-9857-DA1182459938}" name="Grande Bretagne"/>
    <tableColumn id="30" xr3:uid="{E3B81230-45A5-4EFF-9E80-809D3FEDD90C}" name="Canada"/>
    <tableColumn id="26" xr3:uid="{A6A7F314-EE88-4102-978C-2D9645347E54}" name="Pays Emergeants Hors Chine et Japon"/>
    <tableColumn id="31" xr3:uid="{F25E201E-6C64-46F9-95BF-7DA2FE061D89}" name="Australie"/>
    <tableColumn id="32" xr3:uid="{5399BF12-1306-43D3-BE9F-9F48E0E1B9A2}" name="Suède"/>
    <tableColumn id="33" xr3:uid="{6463C7F9-EA3F-44A6-AA72-65967D6ED2C5}" name="Suisse"/>
    <tableColumn id="34" xr3:uid="{5014923F-65AC-4C3A-8B9A-0CF878DB01CF}" name="Chine"/>
    <tableColumn id="35" xr3:uid="{524BC43D-A36B-44D1-9160-171BC2603CCB}" name="Israel"/>
    <tableColumn id="36" xr3:uid="{44198B90-47C4-48EC-B797-784444C31921}" name="Allemagne"/>
    <tableColumn id="15" xr3:uid="{C7668AAE-3655-4FA8-B4F9-BCADEE038460}" name="Nouvelle Zelande"/>
    <tableColumn id="37" xr3:uid="{06A23BFC-854D-45E2-9F8D-DF0309998849}" name="Pays-Bas"/>
    <tableColumn id="38" xr3:uid="{88236FDE-0F45-4195-A6FA-A8B2A7FC370E}" name="Irlande"/>
    <tableColumn id="39" xr3:uid="{68B7FB4A-87F3-483F-836D-FE77C7CAE622}" name="Espagne"/>
    <tableColumn id="40" xr3:uid="{F0EA963C-8623-4084-ABC1-802DDF745617}" name="Italie"/>
    <tableColumn id="41" xr3:uid="{0221ACEA-33F8-4543-A23A-827595C7CCB0}" name="France"/>
    <tableColumn id="42" xr3:uid="{0D03D1A7-7CE8-44CA-93B9-C72201AE9C3A}" name="Autre Pays" dataDxfId="2">
      <calculatedColumnFormula>100-SUM(Positions_Table[[#This Row],[USA]:[France]])</calculatedColumnFormula>
    </tableColumn>
    <tableColumn id="12" xr3:uid="{E8A10A15-6AF7-4AED-8D48-84F2430242AD}" name="Etats"/>
    <tableColumn id="43" xr3:uid="{6955AA95-535B-44A3-8AF4-B11772CCEC11}" name="Industrie"/>
    <tableColumn id="44" xr3:uid="{A7BAD2C0-BC3C-46DB-8E5A-3BE52A972AD6}" name="Finance"/>
    <tableColumn id="45" xr3:uid="{3DB05494-787F-4791-A91B-F369F50BBCCB}" name="Consommation Cyclique"/>
    <tableColumn id="46" xr3:uid="{F5C5A897-2233-4236-B3B7-E98C0463CFE4}" name="Technologie"/>
    <tableColumn id="47" xr3:uid="{7D6BF6C7-9321-4F09-90B7-7311F503679F}" name="Santé"/>
    <tableColumn id="48" xr3:uid="{5D3E894A-3096-4EA9-97C3-DFF59CAA3A4C}" name="Consommation Defensive"/>
    <tableColumn id="49" xr3:uid="{D0B88430-3160-4BDD-AB88-A9F602474AA9}" name="Communication"/>
    <tableColumn id="50" xr3:uid="{501FB8AA-B04A-4A94-8BBB-4C34328AAA84}" name="Immobilier"/>
    <tableColumn id="51" xr3:uid="{A5919E93-9304-4E17-A494-9128A62A945A}" name="Matières Premières"/>
    <tableColumn id="52" xr3:uid="{F372531A-CF59-477D-9101-9FB12A792FD8}" name="Energie"/>
    <tableColumn id="53" xr3:uid="{226F2DAA-00FC-4F33-882E-E3C0D0AD09E4}" name="Service Publiques"/>
    <tableColumn id="54" xr3:uid="{1F5E8F7F-9A58-42E2-B030-CA9DF7E64D42}" name="Services de consommation"/>
    <tableColumn id="55" xr3:uid="{1F6AF787-17DE-46E8-8043-8BDFE7A058AA}" name="Autre Secteur" dataDxfId="1">
      <calculatedColumnFormula>100-SUM(Positions_Table[[#This Row],[Industrie]:[Services de consommation]])</calculatedColumnFormula>
    </tableColumn>
    <tableColumn id="5" xr3:uid="{EA190F4F-1407-4E0D-B8BC-03F8CD3E18A6}" name="Etats2"/>
    <tableColumn id="6" xr3:uid="{850A99C9-2711-4F88-A870-7A34AC929224}" name="Banque Emetteur"/>
    <tableColumn id="7" xr3:uid="{46B551DF-86C3-4BF8-8B6D-CF11DD3FAD6D}" name="Entreprises"/>
    <tableColumn id="8" xr3:uid="{BDA4CC87-C5E8-49D4-A62C-D030726D1728}" name="Autre Emetteur" dataDxfId="0">
      <calculatedColumnFormula>100-SUM(Positions_Table[[#This Row],[Etats2]:[Entreprises]])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res_Table" displayName="Ordres_Table" ref="A1:U2" totalsRowShown="0">
  <autoFilter ref="A1:U2" xr:uid="{00000000-0009-0000-0100-000002000000}"/>
  <tableColumns count="21">
    <tableColumn id="1" xr3:uid="{00000000-0010-0000-0100-000001000000}" name="Catégorie"/>
    <tableColumn id="2" xr3:uid="{00000000-0010-0000-0100-000002000000}" name="Statut"/>
    <tableColumn id="3" xr3:uid="{00000000-0010-0000-0100-000003000000}" name="Nom"/>
    <tableColumn id="4" xr3:uid="{00000000-0010-0000-0100-000004000000}" name="Symbole"/>
    <tableColumn id="5" xr3:uid="{00000000-0010-0000-0100-000005000000}" name="Qté"/>
    <tableColumn id="6" xr3:uid="{00000000-0010-0000-0100-000006000000}" name="Type Trans."/>
    <tableColumn id="7" xr3:uid="{00000000-0010-0000-0100-000007000000}" name="Type Ordre"/>
    <tableColumn id="8" xr3:uid="{00000000-0010-0000-0100-000008000000}" name="Cours"/>
    <tableColumn id="9" xr3:uid="{00000000-0010-0000-0100-000009000000}" name="Variation %"/>
    <tableColumn id="10" xr3:uid="{00000000-0010-0000-0100-00000A000000}" name="Qté Exec"/>
    <tableColumn id="11" xr3:uid="{00000000-0010-0000-0100-00000B000000}" name="Date d'exécution"/>
    <tableColumn id="12" xr3:uid="{00000000-0010-0000-0100-00000C000000}" name="Frais"/>
    <tableColumn id="13" xr3:uid="{00000000-0010-0000-0100-00000D000000}" name="Px Limite"/>
    <tableColumn id="14" xr3:uid="{00000000-0010-0000-0100-00000E000000}" name="Px Stop"/>
    <tableColumn id="15" xr3:uid="{00000000-0010-0000-0100-00000F000000}" name="Px Exec"/>
    <tableColumn id="16" xr3:uid="{00000000-0010-0000-0100-000010000000}" name="Dist au marché"/>
    <tableColumn id="17" xr3:uid="{00000000-0010-0000-0100-000011000000}" name="Marché"/>
    <tableColumn id="18" xr3:uid="{00000000-0010-0000-0100-000012000000}" name="Devise"/>
    <tableColumn id="19" xr3:uid="{00000000-0010-0000-0100-000013000000}" name="Validité"/>
    <tableColumn id="20" xr3:uid="{00000000-0010-0000-0100-000014000000}" name="Date création"/>
    <tableColumn id="21" xr3:uid="{00000000-0010-0000-0100-000015000000}" name="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Table" displayName="Cash_Table" ref="A1:F3" totalsRowShown="0">
  <autoFilter ref="A1:F3" xr:uid="{00000000-0009-0000-0100-000003000000}"/>
  <tableColumns count="6">
    <tableColumn id="1" xr3:uid="{00000000-0010-0000-0200-000001000000}" name="Catégorie"/>
    <tableColumn id="2" xr3:uid="{00000000-0010-0000-0200-000002000000}" name="Sous-catégorie"/>
    <tableColumn id="3" xr3:uid="{00000000-0010-0000-0200-000003000000}" name="Devise"/>
    <tableColumn id="4" xr3:uid="{00000000-0010-0000-0200-000004000000}" name="Montant"/>
    <tableColumn id="5" xr3:uid="{00000000-0010-0000-0200-000005000000}" name="Change"/>
    <tableColumn id="6" xr3:uid="{00000000-0010-0000-0200-000006000000}" name="Montant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_Table" displayName="Transactions_Table" ref="A1:I2" totalsRowShown="0">
  <autoFilter ref="A1:I2" xr:uid="{00000000-0009-0000-0100-000004000000}"/>
  <tableColumns count="9">
    <tableColumn id="1" xr3:uid="{00000000-0010-0000-0300-000001000000}" name="Nom"/>
    <tableColumn id="2" xr3:uid="{00000000-0010-0000-0300-000002000000}" name="Date"/>
    <tableColumn id="3" xr3:uid="{00000000-0010-0000-0300-000003000000}" name="Date valeur"/>
    <tableColumn id="4" xr3:uid="{00000000-0010-0000-0300-000004000000}" name="Type d'ordre"/>
    <tableColumn id="5" xr3:uid="{00000000-0010-0000-0300-000005000000}" name="Quantité"/>
    <tableColumn id="6" xr3:uid="{00000000-0010-0000-0300-000006000000}" name="Prix"/>
    <tableColumn id="7" xr3:uid="{00000000-0010-0000-0300-000007000000}" name="Change"/>
    <tableColumn id="8" xr3:uid="{00000000-0010-0000-0300-000008000000}" name="Montant"/>
    <tableColumn id="9" xr3:uid="{00000000-0010-0000-0300-000009000000}" name="Balance dev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abSelected="1" workbookViewId="0">
      <selection activeCell="E14" sqref="E14"/>
    </sheetView>
  </sheetViews>
  <sheetFormatPr baseColWidth="10" defaultColWidth="8.7265625" defaultRowHeight="14.5" x14ac:dyDescent="0.35"/>
  <cols>
    <col min="1" max="1" width="13.453125" bestFit="1" customWidth="1"/>
    <col min="2" max="2" width="14.26953125" bestFit="1" customWidth="1"/>
    <col min="3" max="3" width="17.1796875" bestFit="1" customWidth="1"/>
    <col min="4" max="4" width="51.90625" bestFit="1" customWidth="1"/>
    <col min="5" max="5" width="67.81640625" customWidth="1"/>
    <col min="6" max="6" width="25.08984375" customWidth="1"/>
    <col min="7" max="7" width="23.36328125" bestFit="1" customWidth="1"/>
    <col min="8" max="9" width="23.36328125" customWidth="1"/>
    <col min="10" max="10" width="14.54296875" bestFit="1" customWidth="1"/>
    <col min="11" max="11" width="16.7265625" bestFit="1" customWidth="1"/>
    <col min="13" max="13" width="13.1796875" bestFit="1" customWidth="1"/>
    <col min="14" max="14" width="13.1796875" customWidth="1"/>
    <col min="15" max="15" width="14.26953125" bestFit="1" customWidth="1"/>
    <col min="16" max="16" width="13.6328125" customWidth="1"/>
    <col min="23" max="23" width="28.54296875" bestFit="1" customWidth="1"/>
    <col min="35" max="35" width="13.36328125" bestFit="1" customWidth="1"/>
    <col min="36" max="36" width="11.7265625" bestFit="1" customWidth="1"/>
    <col min="37" max="37" width="11.7265625" customWidth="1"/>
    <col min="38" max="38" width="20.453125" bestFit="1" customWidth="1"/>
    <col min="39" max="39" width="9.26953125" bestFit="1" customWidth="1"/>
    <col min="40" max="40" width="14.7265625" bestFit="1" customWidth="1"/>
    <col min="41" max="41" width="22.6328125" bestFit="1" customWidth="1"/>
    <col min="42" max="42" width="26.6328125" bestFit="1" customWidth="1"/>
    <col min="43" max="43" width="14.26953125" bestFit="1" customWidth="1"/>
    <col min="44" max="44" width="17.90625" bestFit="1" customWidth="1"/>
    <col min="45" max="45" width="11" bestFit="1" customWidth="1"/>
    <col min="46" max="46" width="11.7265625" bestFit="1" customWidth="1"/>
    <col min="47" max="47" width="16.453125" bestFit="1" customWidth="1"/>
    <col min="48" max="48" width="11.26953125" bestFit="1" customWidth="1"/>
    <col min="50" max="50" width="17.81640625" bestFit="1" customWidth="1"/>
  </cols>
  <sheetData>
    <row r="1" spans="1:54" x14ac:dyDescent="0.35">
      <c r="A1" t="s">
        <v>91</v>
      </c>
      <c r="B1" t="s">
        <v>53</v>
      </c>
      <c r="C1" t="s">
        <v>62</v>
      </c>
      <c r="D1" t="s">
        <v>1</v>
      </c>
      <c r="E1" t="s">
        <v>96</v>
      </c>
      <c r="F1" t="s">
        <v>2</v>
      </c>
      <c r="G1" s="2" t="s">
        <v>92</v>
      </c>
      <c r="H1" s="2" t="s">
        <v>31</v>
      </c>
      <c r="I1" s="2" t="s">
        <v>87</v>
      </c>
      <c r="J1" s="2" t="s">
        <v>86</v>
      </c>
      <c r="K1" s="2" t="s">
        <v>74</v>
      </c>
      <c r="L1" s="2" t="s">
        <v>64</v>
      </c>
      <c r="M1" s="2" t="s">
        <v>95</v>
      </c>
      <c r="N1" s="2" t="s">
        <v>94</v>
      </c>
      <c r="O1" s="2" t="s">
        <v>93</v>
      </c>
      <c r="P1" s="2" t="s">
        <v>97</v>
      </c>
      <c r="Q1" s="2" t="s">
        <v>98</v>
      </c>
      <c r="R1" s="2" t="s">
        <v>99</v>
      </c>
      <c r="S1" s="2" t="s">
        <v>65</v>
      </c>
      <c r="T1" s="2" t="s">
        <v>100</v>
      </c>
      <c r="U1" s="2" t="s">
        <v>101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106</v>
      </c>
      <c r="AA1" s="2" t="s">
        <v>107</v>
      </c>
      <c r="AB1" s="2" t="s">
        <v>66</v>
      </c>
      <c r="AC1" s="2" t="s">
        <v>108</v>
      </c>
      <c r="AD1" s="2" t="s">
        <v>89</v>
      </c>
      <c r="AE1" s="2" t="s">
        <v>109</v>
      </c>
      <c r="AF1" s="2" t="s">
        <v>67</v>
      </c>
      <c r="AG1" s="2" t="s">
        <v>110</v>
      </c>
      <c r="AH1" s="2" t="s">
        <v>111</v>
      </c>
      <c r="AI1" s="2" t="s">
        <v>68</v>
      </c>
      <c r="AJ1" s="2" t="s">
        <v>112</v>
      </c>
      <c r="AK1" s="2" t="s">
        <v>76</v>
      </c>
      <c r="AL1" s="2" t="s">
        <v>113</v>
      </c>
      <c r="AM1" s="2" t="s">
        <v>69</v>
      </c>
      <c r="AN1" s="2" t="s">
        <v>114</v>
      </c>
      <c r="AO1" s="2" t="s">
        <v>115</v>
      </c>
      <c r="AP1" s="2" t="s">
        <v>116</v>
      </c>
      <c r="AQ1" s="2" t="s">
        <v>117</v>
      </c>
      <c r="AR1" s="2" t="s">
        <v>118</v>
      </c>
      <c r="AS1" s="2" t="s">
        <v>119</v>
      </c>
      <c r="AT1" s="2" t="s">
        <v>120</v>
      </c>
      <c r="AU1" s="2" t="s">
        <v>121</v>
      </c>
      <c r="AV1" s="2" t="s">
        <v>122</v>
      </c>
      <c r="AW1" s="2" t="s">
        <v>123</v>
      </c>
      <c r="AX1" s="2" t="s">
        <v>90</v>
      </c>
      <c r="AY1" s="2" t="s">
        <v>84</v>
      </c>
      <c r="AZ1" s="2" t="s">
        <v>124</v>
      </c>
      <c r="BA1" s="2" t="s">
        <v>77</v>
      </c>
      <c r="BB1" s="2" t="s">
        <v>125</v>
      </c>
    </row>
    <row r="2" spans="1:54" x14ac:dyDescent="0.35">
      <c r="A2" t="s">
        <v>6</v>
      </c>
      <c r="B2" t="s">
        <v>47</v>
      </c>
      <c r="C2" t="s">
        <v>55</v>
      </c>
      <c r="D2" t="s">
        <v>7</v>
      </c>
      <c r="E2" t="s">
        <v>70</v>
      </c>
      <c r="F2" t="s">
        <v>8</v>
      </c>
      <c r="L2" s="3">
        <v>6.9999999999999999E-4</v>
      </c>
      <c r="M2" t="s">
        <v>71</v>
      </c>
      <c r="O2" t="s">
        <v>72</v>
      </c>
      <c r="P2">
        <v>16513</v>
      </c>
      <c r="Q2">
        <v>612</v>
      </c>
      <c r="R2" t="s">
        <v>73</v>
      </c>
      <c r="U2">
        <v>20</v>
      </c>
      <c r="Z2">
        <v>14</v>
      </c>
      <c r="AC2">
        <v>14</v>
      </c>
      <c r="AI2">
        <v>14</v>
      </c>
      <c r="AJ2">
        <f>100-SUM(Positions_Table[[#This Row],[USA]:[France]])</f>
        <v>38</v>
      </c>
      <c r="AL2">
        <v>18</v>
      </c>
      <c r="AM2">
        <v>24</v>
      </c>
      <c r="AN2">
        <v>8</v>
      </c>
      <c r="AO2">
        <v>8</v>
      </c>
      <c r="AP2">
        <v>11</v>
      </c>
      <c r="AQ2">
        <v>7</v>
      </c>
      <c r="AX2">
        <f>100-SUM(Positions_Table[[#This Row],[Industrie]:[Services de consommation]])</f>
        <v>24</v>
      </c>
      <c r="BB2">
        <f>100-SUM(Positions_Table[[#This Row],[Etats2]:[Entreprises]])</f>
        <v>100</v>
      </c>
    </row>
    <row r="3" spans="1:54" x14ac:dyDescent="0.35">
      <c r="A3" t="s">
        <v>9</v>
      </c>
      <c r="B3" t="s">
        <v>48</v>
      </c>
      <c r="C3" t="s">
        <v>55</v>
      </c>
      <c r="D3" t="s">
        <v>10</v>
      </c>
      <c r="E3" t="s">
        <v>10</v>
      </c>
      <c r="F3" t="s">
        <v>11</v>
      </c>
      <c r="K3" t="s">
        <v>75</v>
      </c>
      <c r="L3" s="3">
        <v>6.6E-3</v>
      </c>
      <c r="M3" t="s">
        <v>71</v>
      </c>
      <c r="O3" t="s">
        <v>72</v>
      </c>
      <c r="P3">
        <v>5310</v>
      </c>
      <c r="Q3">
        <v>50</v>
      </c>
      <c r="R3" t="s">
        <v>73</v>
      </c>
      <c r="AJ3">
        <f>100-SUM(Positions_Table[[#This Row],[USA]:[France]])</f>
        <v>100</v>
      </c>
      <c r="AX3">
        <f>100-SUM(Positions_Table[[#This Row],[Industrie]:[Services de consommation]])</f>
        <v>100</v>
      </c>
      <c r="AY3">
        <v>1</v>
      </c>
      <c r="AZ3">
        <v>74</v>
      </c>
      <c r="BA3">
        <v>10</v>
      </c>
      <c r="BB3">
        <f>100-SUM(Positions_Table[[#This Row],[Etats2]:[Entreprises]])</f>
        <v>15</v>
      </c>
    </row>
    <row r="4" spans="1:54" x14ac:dyDescent="0.35">
      <c r="A4" t="s">
        <v>9</v>
      </c>
      <c r="B4" t="s">
        <v>49</v>
      </c>
      <c r="C4" t="s">
        <v>79</v>
      </c>
      <c r="D4" t="s">
        <v>12</v>
      </c>
      <c r="E4" t="s">
        <v>12</v>
      </c>
      <c r="F4" t="s">
        <v>13</v>
      </c>
      <c r="L4" s="3">
        <v>2.1499999999999998E-2</v>
      </c>
      <c r="M4" t="s">
        <v>71</v>
      </c>
      <c r="N4">
        <v>8</v>
      </c>
      <c r="O4" t="s">
        <v>72</v>
      </c>
      <c r="P4">
        <v>145</v>
      </c>
      <c r="Q4">
        <v>50</v>
      </c>
      <c r="R4" t="s">
        <v>73</v>
      </c>
      <c r="AJ4">
        <f>100-SUM(Positions_Table[[#This Row],[USA]:[France]])</f>
        <v>100</v>
      </c>
      <c r="AX4">
        <f>100-SUM(Positions_Table[[#This Row],[Industrie]:[Services de consommation]])</f>
        <v>100</v>
      </c>
      <c r="BB4">
        <f>100-SUM(Positions_Table[[#This Row],[Etats2]:[Entreprises]])</f>
        <v>100</v>
      </c>
    </row>
    <row r="5" spans="1:54" x14ac:dyDescent="0.35">
      <c r="A5" t="s">
        <v>63</v>
      </c>
      <c r="B5" t="s">
        <v>51</v>
      </c>
      <c r="C5" t="s">
        <v>78</v>
      </c>
      <c r="D5" t="s">
        <v>14</v>
      </c>
      <c r="E5" t="s">
        <v>80</v>
      </c>
      <c r="F5" t="s">
        <v>15</v>
      </c>
      <c r="L5" s="3">
        <v>4.0000000000000001E-3</v>
      </c>
      <c r="M5" t="s">
        <v>71</v>
      </c>
      <c r="O5" t="s">
        <v>72</v>
      </c>
      <c r="P5">
        <v>4120</v>
      </c>
      <c r="Q5">
        <v>1</v>
      </c>
      <c r="R5" t="s">
        <v>73</v>
      </c>
      <c r="AJ5">
        <f>100-SUM(Positions_Table[[#This Row],[USA]:[France]])</f>
        <v>100</v>
      </c>
      <c r="AX5">
        <f>100-SUM(Positions_Table[[#This Row],[Industrie]:[Services de consommation]])</f>
        <v>100</v>
      </c>
      <c r="BB5">
        <f>100-SUM(Positions_Table[[#This Row],[Etats2]:[Entreprises]])</f>
        <v>100</v>
      </c>
    </row>
    <row r="6" spans="1:54" x14ac:dyDescent="0.35">
      <c r="A6" t="s">
        <v>63</v>
      </c>
      <c r="B6" t="s">
        <v>52</v>
      </c>
      <c r="C6" t="s">
        <v>54</v>
      </c>
      <c r="D6" t="s">
        <v>16</v>
      </c>
      <c r="E6" t="s">
        <v>81</v>
      </c>
      <c r="F6" t="s">
        <v>17</v>
      </c>
      <c r="J6">
        <v>47118</v>
      </c>
      <c r="K6" t="s">
        <v>75</v>
      </c>
      <c r="L6" s="3">
        <v>1.1999999999999999E-3</v>
      </c>
      <c r="M6" t="s">
        <v>71</v>
      </c>
      <c r="O6" t="s">
        <v>72</v>
      </c>
      <c r="P6">
        <v>969</v>
      </c>
      <c r="Q6">
        <v>388</v>
      </c>
      <c r="R6" t="s">
        <v>73</v>
      </c>
      <c r="AJ6">
        <f>100-SUM(Positions_Table[[#This Row],[USA]:[France]])</f>
        <v>100</v>
      </c>
      <c r="AX6">
        <f>100-SUM(Positions_Table[[#This Row],[Industrie]:[Services de consommation]])</f>
        <v>100</v>
      </c>
      <c r="AZ6">
        <v>50</v>
      </c>
      <c r="BA6">
        <v>50</v>
      </c>
      <c r="BB6">
        <f>100-SUM(Positions_Table[[#This Row],[Etats2]:[Entreprises]])</f>
        <v>0</v>
      </c>
    </row>
    <row r="7" spans="1:54" x14ac:dyDescent="0.35">
      <c r="A7" t="s">
        <v>9</v>
      </c>
      <c r="B7" t="s">
        <v>50</v>
      </c>
      <c r="C7" t="s">
        <v>82</v>
      </c>
      <c r="D7" t="s">
        <v>18</v>
      </c>
      <c r="E7" t="s">
        <v>83</v>
      </c>
      <c r="F7" t="s">
        <v>19</v>
      </c>
      <c r="L7" s="3">
        <v>1.4E-2</v>
      </c>
      <c r="M7" t="s">
        <v>71</v>
      </c>
      <c r="O7" t="s">
        <v>72</v>
      </c>
      <c r="P7">
        <v>17000</v>
      </c>
      <c r="Q7">
        <v>100</v>
      </c>
      <c r="R7" t="s">
        <v>73</v>
      </c>
      <c r="S7">
        <v>63</v>
      </c>
      <c r="U7">
        <v>4</v>
      </c>
      <c r="AC7">
        <v>10</v>
      </c>
      <c r="AI7">
        <v>10</v>
      </c>
      <c r="AJ7">
        <f>100-SUM(Positions_Table[[#This Row],[USA]:[France]])</f>
        <v>13</v>
      </c>
      <c r="AL7">
        <v>11</v>
      </c>
      <c r="AM7">
        <v>18</v>
      </c>
      <c r="AN7">
        <v>10</v>
      </c>
      <c r="AO7">
        <v>27</v>
      </c>
      <c r="AP7">
        <v>11</v>
      </c>
      <c r="AQ7">
        <v>5</v>
      </c>
      <c r="AR7">
        <v>8</v>
      </c>
      <c r="AU7">
        <v>6</v>
      </c>
      <c r="AX7">
        <f>100-SUM(Positions_Table[[#This Row],[Industrie]:[Services de consommation]])</f>
        <v>4</v>
      </c>
      <c r="BB7">
        <f>100-SUM(Positions_Table[[#This Row],[Etats2]:[Entreprises]])</f>
        <v>100</v>
      </c>
    </row>
    <row r="8" spans="1:54" x14ac:dyDescent="0.35">
      <c r="A8" t="s">
        <v>63</v>
      </c>
      <c r="B8" t="s">
        <v>57</v>
      </c>
      <c r="C8" t="s">
        <v>58</v>
      </c>
      <c r="D8" t="s">
        <v>59</v>
      </c>
      <c r="E8" t="s">
        <v>85</v>
      </c>
      <c r="L8" s="3">
        <v>3.0000000000000001E-3</v>
      </c>
      <c r="M8" t="s">
        <v>71</v>
      </c>
      <c r="O8" t="s">
        <v>72</v>
      </c>
      <c r="P8">
        <v>140</v>
      </c>
      <c r="Q8">
        <v>72</v>
      </c>
      <c r="R8" t="s">
        <v>73</v>
      </c>
      <c r="Y8">
        <v>20</v>
      </c>
      <c r="Z8">
        <v>17</v>
      </c>
      <c r="AC8">
        <v>18</v>
      </c>
      <c r="AI8">
        <v>21</v>
      </c>
      <c r="AJ8">
        <f>100-SUM(Positions_Table[[#This Row],[USA]:[France]])</f>
        <v>24</v>
      </c>
      <c r="AS8">
        <v>100</v>
      </c>
      <c r="AX8">
        <f>100-SUM(Positions_Table[[#This Row],[Industrie]:[Services de consommation]])</f>
        <v>0</v>
      </c>
      <c r="BB8">
        <f>100-SUM(Positions_Table[[#This Row],[Etats2]:[Entreprises]])</f>
        <v>100</v>
      </c>
    </row>
    <row r="9" spans="1:54" x14ac:dyDescent="0.35">
      <c r="A9" t="s">
        <v>56</v>
      </c>
      <c r="B9" t="s">
        <v>61</v>
      </c>
      <c r="C9" t="s">
        <v>56</v>
      </c>
      <c r="D9" t="s">
        <v>60</v>
      </c>
      <c r="H9" t="s">
        <v>88</v>
      </c>
      <c r="I9">
        <v>1.7500000000000002E-2</v>
      </c>
      <c r="J9">
        <v>46248</v>
      </c>
      <c r="L9" s="3"/>
      <c r="W9">
        <v>100</v>
      </c>
      <c r="AJ9">
        <f>100-SUM(Positions_Table[[#This Row],[USA]:[France]])</f>
        <v>0</v>
      </c>
      <c r="AX9">
        <f>100-SUM(Positions_Table[[#This Row],[Industrie]:[Services de consommation]])</f>
        <v>100</v>
      </c>
      <c r="BB9">
        <f>100-SUM(Positions_Table[[#This Row],[Etats2]:[Entreprises]])</f>
        <v>100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7265625" defaultRowHeight="14.5" x14ac:dyDescent="0.35"/>
  <sheetData>
    <row r="1" spans="1:21" x14ac:dyDescent="0.35">
      <c r="A1" t="s">
        <v>20</v>
      </c>
      <c r="B1" t="s">
        <v>21</v>
      </c>
      <c r="C1" t="s">
        <v>1</v>
      </c>
      <c r="D1" t="s">
        <v>2</v>
      </c>
      <c r="E1" t="s">
        <v>3</v>
      </c>
      <c r="F1" t="s">
        <v>22</v>
      </c>
      <c r="G1" t="s">
        <v>23</v>
      </c>
      <c r="H1" t="s">
        <v>4</v>
      </c>
      <c r="I1" t="s">
        <v>5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0</v>
      </c>
      <c r="R1" t="s">
        <v>31</v>
      </c>
      <c r="S1" t="s">
        <v>32</v>
      </c>
      <c r="T1" t="s">
        <v>33</v>
      </c>
      <c r="U1" t="s">
        <v>34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20</v>
      </c>
      <c r="B1" t="s">
        <v>35</v>
      </c>
      <c r="C1" t="s">
        <v>31</v>
      </c>
      <c r="D1" t="s">
        <v>36</v>
      </c>
      <c r="E1" t="s">
        <v>37</v>
      </c>
      <c r="F1" t="s">
        <v>38</v>
      </c>
    </row>
    <row r="2" spans="1:6" x14ac:dyDescent="0.35">
      <c r="A2" t="s">
        <v>39</v>
      </c>
      <c r="C2" t="s">
        <v>40</v>
      </c>
      <c r="D2" s="1">
        <v>24352.17</v>
      </c>
      <c r="E2">
        <v>1</v>
      </c>
      <c r="F2" s="1">
        <v>24352.17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1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37</v>
      </c>
      <c r="H1" t="s">
        <v>36</v>
      </c>
      <c r="I1" t="s">
        <v>46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Positions</vt:lpstr>
      <vt:lpstr>Ordres</vt:lpstr>
      <vt:lpstr>Cash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2026-02-07T09:35:24Z</dcterms:created>
  <dcterms:modified xsi:type="dcterms:W3CDTF">2026-02-14T14:01:03Z</dcterms:modified>
</cp:coreProperties>
</file>