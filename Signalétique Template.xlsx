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eble\Code\env\Portfolio\"/>
    </mc:Choice>
  </mc:AlternateContent>
  <xr:revisionPtr revIDLastSave="0" documentId="8_{B1B1C92D-B6BF-495D-9643-60DA75DBB8B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ositions" sheetId="2" r:id="rId1"/>
    <sheet name="Ordres" sheetId="3" r:id="rId2"/>
    <sheet name="Cash" sheetId="4" r:id="rId3"/>
    <sheet name="Transaction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AX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</calcChain>
</file>

<file path=xl/sharedStrings.xml><?xml version="1.0" encoding="utf-8"?>
<sst xmlns="http://schemas.openxmlformats.org/spreadsheetml/2006/main" count="358" uniqueCount="214">
  <si>
    <t>Marché</t>
  </si>
  <si>
    <t>Nom</t>
  </si>
  <si>
    <t>Symbole</t>
  </si>
  <si>
    <t>Qté</t>
  </si>
  <si>
    <t>Cours</t>
  </si>
  <si>
    <t>Variation %</t>
  </si>
  <si>
    <t>Trackers</t>
  </si>
  <si>
    <t>AMUNDI COR STOX600</t>
  </si>
  <si>
    <t>MEUD</t>
  </si>
  <si>
    <t>AMUNDI ETF W WATER</t>
  </si>
  <si>
    <t>WAT</t>
  </si>
  <si>
    <t>Fonds</t>
  </si>
  <si>
    <t>Amundi Funds Cash Eur A2 EUR</t>
  </si>
  <si>
    <t>S79702488</t>
  </si>
  <si>
    <t>AMUNDI MSCI JAP E</t>
  </si>
  <si>
    <t>CJ1</t>
  </si>
  <si>
    <t>Blackrock Global Funds Sustainable Energy Fund A2 EUR</t>
  </si>
  <si>
    <t>Carmignac Portofolio Long-Short European Equities A</t>
  </si>
  <si>
    <t>S79702685</t>
  </si>
  <si>
    <t>GOLD BULLION SEC</t>
  </si>
  <si>
    <t>GBS</t>
  </si>
  <si>
    <t>HSBC HSENG TCH ETF</t>
  </si>
  <si>
    <t>HSTE</t>
  </si>
  <si>
    <t>iBds D28 Term E Ac</t>
  </si>
  <si>
    <t>B28A</t>
  </si>
  <si>
    <t>ISHARES AUTOMAT &amp; ROBOTICS UCITS ETF ACC</t>
  </si>
  <si>
    <t>RBOT</t>
  </si>
  <si>
    <t>ISHS VI-E.MSCI WL.M.V.EHA</t>
  </si>
  <si>
    <t>SXR0</t>
  </si>
  <si>
    <t>ISHSIV-DIGITIL.SECUR.DL A</t>
  </si>
  <si>
    <t>L0CK</t>
  </si>
  <si>
    <t>JPMorgan Investment Funds Global Income Fund A (acc) EUR</t>
  </si>
  <si>
    <t>S79703699</t>
  </si>
  <si>
    <t>MSCI WRD EH</t>
  </si>
  <si>
    <t>IWDE</t>
  </si>
  <si>
    <t>MUL-AM.MSCI JPN ETF YNA</t>
  </si>
  <si>
    <t>LCUJ</t>
  </si>
  <si>
    <t>X(IE)-MSCI WO.HE.CA. 1CDL</t>
  </si>
  <si>
    <t>XDWH</t>
  </si>
  <si>
    <t>X(IE)-MSCI WO.UTILIT.1CDL</t>
  </si>
  <si>
    <t>XDWU</t>
  </si>
  <si>
    <t>XTR.II GL.INF.-LI.B.1CEOH</t>
  </si>
  <si>
    <t>XGIN</t>
  </si>
  <si>
    <t>Catégorie</t>
  </si>
  <si>
    <t>Statut</t>
  </si>
  <si>
    <t>Type Trans.</t>
  </si>
  <si>
    <t>Type Ordre</t>
  </si>
  <si>
    <t>Qté Exec</t>
  </si>
  <si>
    <t>Date d'exécution</t>
  </si>
  <si>
    <t>Frais</t>
  </si>
  <si>
    <t>Px Limite</t>
  </si>
  <si>
    <t>Px Stop</t>
  </si>
  <si>
    <t>Px Exec</t>
  </si>
  <si>
    <t>Dist au marché</t>
  </si>
  <si>
    <t>Devise</t>
  </si>
  <si>
    <t>Validité</t>
  </si>
  <si>
    <t>Date création</t>
  </si>
  <si>
    <t>Ref</t>
  </si>
  <si>
    <t>Sous-catégorie</t>
  </si>
  <si>
    <t>Montant</t>
  </si>
  <si>
    <t>Change</t>
  </si>
  <si>
    <t>Montant EUR</t>
  </si>
  <si>
    <t>Disponible pour négoce</t>
  </si>
  <si>
    <t>EUR</t>
  </si>
  <si>
    <t>Date</t>
  </si>
  <si>
    <t>Date valeur</t>
  </si>
  <si>
    <t>Type d'ordre</t>
  </si>
  <si>
    <t>Quantité</t>
  </si>
  <si>
    <t>Prix</t>
  </si>
  <si>
    <t>Balance devise</t>
  </si>
  <si>
    <t>LU0908500753</t>
  </si>
  <si>
    <t>LU0568620560</t>
  </si>
  <si>
    <t>LU0171289902</t>
  </si>
  <si>
    <t>FR0010149179</t>
  </si>
  <si>
    <t>LU0740858229</t>
  </si>
  <si>
    <t>FR0010527275</t>
  </si>
  <si>
    <t>LU1602144732</t>
  </si>
  <si>
    <t>GB00B00FHZ82</t>
  </si>
  <si>
    <t>IE00BMWXKN31</t>
  </si>
  <si>
    <t>IE0008UEVOE0</t>
  </si>
  <si>
    <t>Isin</t>
  </si>
  <si>
    <t>IE00BYZK4552</t>
  </si>
  <si>
    <t>IE00BYXPXL17</t>
  </si>
  <si>
    <t>IShares Digital Security UCITS ETF USD Accu</t>
  </si>
  <si>
    <t>IE00BG0J4C8</t>
  </si>
  <si>
    <t>IE00B441G979</t>
  </si>
  <si>
    <t>iShares MSCI World EUR Hedged UCITS ETF) EUR Accu</t>
  </si>
  <si>
    <t>Amundi Core MSCI Japan UCITS ETF Acc</t>
  </si>
  <si>
    <t>LU1781541252</t>
  </si>
  <si>
    <t>Xtrackers MSCI World Health Care UCITS ETF</t>
  </si>
  <si>
    <t>IE00BM67HK7</t>
  </si>
  <si>
    <t>Xtrackers MSCI World Utilities UCITS ETF</t>
  </si>
  <si>
    <t>IE00BM67HQ30</t>
  </si>
  <si>
    <t>Xtrackers II Global Inflation-Linked Bond UCITS ETF</t>
  </si>
  <si>
    <t>LU0290357929</t>
  </si>
  <si>
    <t>BNPP E MSCI CHINA MIN EUR ETF-C</t>
  </si>
  <si>
    <t>LU2314312849</t>
  </si>
  <si>
    <t>LU2823898353</t>
  </si>
  <si>
    <t>Obligation</t>
  </si>
  <si>
    <t>Actions</t>
  </si>
  <si>
    <t>Obligations</t>
  </si>
  <si>
    <t>BNPPE ESG ENH EUR CP BD DC2027 ETF C</t>
  </si>
  <si>
    <t>IE00B8FHGS14</t>
  </si>
  <si>
    <t>ISHARES EDGE MSCI WRLD MIN VOLAT ETF</t>
  </si>
  <si>
    <t>ISHARES MSCI CHINA ETF USD CAP</t>
  </si>
  <si>
    <t>IE00BJ5JPG56</t>
  </si>
  <si>
    <t>IE00BDZVH966</t>
  </si>
  <si>
    <t>ISHARES USD TIPS ETF EURH CAP</t>
  </si>
  <si>
    <t>IE00BSJCQV56</t>
  </si>
  <si>
    <t>Real Estate</t>
  </si>
  <si>
    <t>SPDR FTSE EPRA EURPEXUK REAL EST ETF</t>
  </si>
  <si>
    <t>ASIAN DEVELOP  16       1,750 140826</t>
  </si>
  <si>
    <t>ASIAN DEVELOP  21       0,750 100226</t>
  </si>
  <si>
    <t>BEI            17       2,375 240527</t>
  </si>
  <si>
    <t>DEUTSCHE BAHN  19       1,875 130226</t>
  </si>
  <si>
    <t>ETATS-UNIS D'A 20       0,375 310727</t>
  </si>
  <si>
    <t>NOUVELLE-ZELAN 20       0,250 150528</t>
  </si>
  <si>
    <t>NOUVELLE-ZELAN 21       0,500 150526</t>
  </si>
  <si>
    <t>US045167DR18</t>
  </si>
  <si>
    <t>CA045167FA66</t>
  </si>
  <si>
    <t>US298785HM16</t>
  </si>
  <si>
    <t>XS1950499712</t>
  </si>
  <si>
    <t>US91282CAD39</t>
  </si>
  <si>
    <t>NZGOVDT528C6</t>
  </si>
  <si>
    <t>NZGOVDT526C0</t>
  </si>
  <si>
    <t>Classe d'actifs</t>
  </si>
  <si>
    <t>BNPP EUR SHORT TERM CORP BD OPP C-D</t>
  </si>
  <si>
    <t>LU0099624925</t>
  </si>
  <si>
    <t>LU2823898437</t>
  </si>
  <si>
    <t>BNPPE ESG ENH EUR CP BD DC2027 ETF D</t>
  </si>
  <si>
    <t>BNPPE ESG ENH EUR CP BD DC2029 ETF D</t>
  </si>
  <si>
    <t>ETF</t>
  </si>
  <si>
    <t>LU2823896738</t>
  </si>
  <si>
    <t>BNPP GLOBAL HIGH YIELD BOND C-D</t>
  </si>
  <si>
    <t>LU0823388888</t>
  </si>
  <si>
    <t>TER</t>
  </si>
  <si>
    <t>USA</t>
  </si>
  <si>
    <t>Israel</t>
  </si>
  <si>
    <t>Irlande</t>
  </si>
  <si>
    <t>France</t>
  </si>
  <si>
    <t>Finance</t>
  </si>
  <si>
    <t>Amundi Core Stoxx Europe 600 UCITS ETF Acc</t>
  </si>
  <si>
    <t>C</t>
  </si>
  <si>
    <t>D</t>
  </si>
  <si>
    <t>Complète</t>
  </si>
  <si>
    <t>N</t>
  </si>
  <si>
    <t>Amundi MSCI Water UCITS ETF Dist</t>
  </si>
  <si>
    <t>Qualité credit</t>
  </si>
  <si>
    <t>Investment grade</t>
  </si>
  <si>
    <t>Etats</t>
  </si>
  <si>
    <t>Entreprises</t>
  </si>
  <si>
    <t>Amundi MSCI Japan ESG Broad Transition UCITS ETF EUR Acc</t>
  </si>
  <si>
    <t>Black Rock Sustainable Energy Fund</t>
  </si>
  <si>
    <t>Matières premières</t>
  </si>
  <si>
    <t>Hedge Fund</t>
  </si>
  <si>
    <t xml:space="preserve">Gold Bullion </t>
  </si>
  <si>
    <t>HSBC Hang Seng TECH UCITS ETF HKD</t>
  </si>
  <si>
    <t>iShares Automation &amp; Robotics UCITS ETF</t>
  </si>
  <si>
    <t>iShares iBonds Dec 2028 Term € Corp UCITS ETF EUR (Acc) </t>
  </si>
  <si>
    <t>iShares Edge MSCI World Minimum Volatility UCITS ETF Hedged EUR Accu</t>
  </si>
  <si>
    <t>CAD</t>
  </si>
  <si>
    <t>Mixte</t>
  </si>
  <si>
    <t>JPMorgan Investment Funds Global Income Fund A (acc) EUR  (50% action / 50% Obligations)</t>
  </si>
  <si>
    <t>Y</t>
  </si>
  <si>
    <t>Etats2</t>
  </si>
  <si>
    <t>BNP Paribas Easy MSCI China Min TE UCITS ETF EUR Acc</t>
  </si>
  <si>
    <t>BNP Paribas Easy ESG Enhanced EUR Corporate Bond December 2027 UCITS ETF Acc</t>
  </si>
  <si>
    <t>BNP Paribas Easy ESG Enhanced EUR Corporate Bond December 2027 UCITS ETF Dis</t>
  </si>
  <si>
    <t>iShares Edge MSCI World Minimum Volatility UCITS ETF USD (Acc)</t>
  </si>
  <si>
    <t>iShares MSCI China UCITS ETF USD (Acc)</t>
  </si>
  <si>
    <t>iShares USD TIPS UCITS ETF EUR Hedged (Acc)</t>
  </si>
  <si>
    <t>SPDR FTSE EPRA Europe ex UK Real Estate UCITS ETF</t>
  </si>
  <si>
    <t>Date de fin</t>
  </si>
  <si>
    <t>Taux</t>
  </si>
  <si>
    <t>USD</t>
  </si>
  <si>
    <t>NZD</t>
  </si>
  <si>
    <t>GBP</t>
  </si>
  <si>
    <t>Nouvelle Zelande</t>
  </si>
  <si>
    <t>Autre Secteur</t>
  </si>
  <si>
    <t>Type d'instr</t>
  </si>
  <si>
    <t>Banques Dispo</t>
  </si>
  <si>
    <t>Replication</t>
  </si>
  <si>
    <t>ESG</t>
  </si>
  <si>
    <t>Cap/Dis</t>
  </si>
  <si>
    <t>Nom Long</t>
  </si>
  <si>
    <t>Taille du Fonds</t>
  </si>
  <si>
    <t>Positions</t>
  </si>
  <si>
    <t>Couverture de change</t>
  </si>
  <si>
    <t>Japon</t>
  </si>
  <si>
    <t>Grande Bretagne</t>
  </si>
  <si>
    <t>Canada</t>
  </si>
  <si>
    <t>Pays Emergeants Hors Chine et Japon</t>
  </si>
  <si>
    <t>Australie</t>
  </si>
  <si>
    <t>Suède</t>
  </si>
  <si>
    <t>Suisse</t>
  </si>
  <si>
    <t>Chine</t>
  </si>
  <si>
    <t>Allemagne</t>
  </si>
  <si>
    <t>Pays-Bas</t>
  </si>
  <si>
    <t>Espagne</t>
  </si>
  <si>
    <t>Italie</t>
  </si>
  <si>
    <t>Autre Pays</t>
  </si>
  <si>
    <t>Industrie</t>
  </si>
  <si>
    <t>Consommation Cyclique</t>
  </si>
  <si>
    <t>Technologie</t>
  </si>
  <si>
    <t>Santé</t>
  </si>
  <si>
    <t>Consommation Defensive</t>
  </si>
  <si>
    <t>Communication</t>
  </si>
  <si>
    <t>Immobilier</t>
  </si>
  <si>
    <t>Matières Premières</t>
  </si>
  <si>
    <t>Energie</t>
  </si>
  <si>
    <t>Service Publiques</t>
  </si>
  <si>
    <t>Services de consommation</t>
  </si>
  <si>
    <t>Banque Emetteur</t>
  </si>
  <si>
    <t>Autre Emetteur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</si>
</sst>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 [$EUR]"/>
  </numFmts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Border="0"/>
  </cellStyleXfs>
  <cellXfs count="4">
    <xf numFmtId="0" fontId="0" fillId="0" borderId="0" xfId="0"/>
    <xf numFmtId="164" fontId="0" fillId="0" borderId="0" xfId="0" applyNumberFormat="1"/>
    <xf numFmtId="0" fontId="0" fillId="0" borderId="1" xfId="0" applyBorder="1" applyAlignment="1">
      <alignment horizontal="center"/>
    </xf>
    <xf numFmtId="1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_Table" displayName="Positions_Table" ref="A1:BB36" totalsRowShown="0">
  <autoFilter ref="A1:BB36" xr:uid="{00000000-0009-0000-0100-000001000000}"/>
  <tableColumns count="54">
    <tableColumn id="1" xr3:uid="{00000000-0010-0000-0000-000001000000}" name="Type d'instr"/>
    <tableColumn id="16" xr3:uid="{94AEAA9C-01FD-4552-80C5-B58EAB6A0274}" name="Isin"/>
    <tableColumn id="18" xr3:uid="{937F896E-58F8-4868-B80F-BFBBD02E1A67}" name="Classe d'actifs"/>
    <tableColumn id="3" xr3:uid="{00000000-0010-0000-0000-000003000000}" name="Nom"/>
    <tableColumn id="17" xr3:uid="{A38B70B5-75C6-42AE-B07E-39155C78ACA7}" name="Nom Long"/>
    <tableColumn id="4" xr3:uid="{00000000-0010-0000-0000-000004000000}" name="Symbole"/>
    <tableColumn id="19" xr3:uid="{042E1319-717D-42EB-9B03-27CBCD2720D8}" name="Banques Dispo"/>
    <tableColumn id="14" xr3:uid="{2DA23C43-437A-4010-B4D9-1DDAFDBF9426}" name="Devise"/>
    <tableColumn id="13" xr3:uid="{FD913B7B-AA05-4E5A-A570-922AA2AD4DEA}" name="Taux"/>
    <tableColumn id="57" xr3:uid="{D816C884-8520-4A17-9A92-0616BD976FD1}" name="Date de fin"/>
    <tableColumn id="2" xr3:uid="{1CDD588F-9B50-4909-86EE-EB22DA16F699}" name="Qualité credit"/>
    <tableColumn id="20" xr3:uid="{610D877A-44A8-4C25-B368-79F7B4C8B6D8}" name="TER"/>
    <tableColumn id="21" xr3:uid="{38295387-4B38-46BB-A543-74EBC82B3B79}" name="Cap/Dis"/>
    <tableColumn id="11" xr3:uid="{3AAF35B0-38D6-4114-9798-CC5EBB299325}" name="ESG"/>
    <tableColumn id="22" xr3:uid="{BFC7E6FB-55E7-4616-AB75-6BB97A6EAD10}" name="Replication"/>
    <tableColumn id="23" xr3:uid="{C54A03B2-B159-4DB7-8C75-33618236C68B}" name="Taille du Fonds"/>
    <tableColumn id="24" xr3:uid="{409CD19D-D5C7-46E4-9A0F-2E44F1DCEA5D}" name="Positions"/>
    <tableColumn id="25" xr3:uid="{FD43C04F-E932-441C-ACFE-7F8E81EA5BB7}" name="Couverture de change"/>
    <tableColumn id="27" xr3:uid="{50F2E838-79D4-4820-855D-51D8F839367D}" name="USA"/>
    <tableColumn id="28" xr3:uid="{E6A25C50-921E-4C76-AAB8-20B570C039EE}" name="Japon"/>
    <tableColumn id="29" xr3:uid="{599395A0-E0DE-49DB-9857-DA1182459938}" name="Grande Bretagne"/>
    <tableColumn id="30" xr3:uid="{E3B81230-45A5-4EFF-9E80-809D3FEDD90C}" name="Canada"/>
    <tableColumn id="26" xr3:uid="{A6A7F314-EE88-4102-978C-2D9645347E54}" name="Pays Emergeants Hors Chine et Japon"/>
    <tableColumn id="31" xr3:uid="{F25E201E-6C64-46F9-95BF-7DA2FE061D89}" name="Australie"/>
    <tableColumn id="32" xr3:uid="{5399BF12-1306-43D3-BE9F-9F48E0E1B9A2}" name="Suède"/>
    <tableColumn id="33" xr3:uid="{6463C7F9-EA3F-44A6-AA72-65967D6ED2C5}" name="Suisse"/>
    <tableColumn id="34" xr3:uid="{5014923F-65AC-4C3A-8B9A-0CF878DB01CF}" name="Chine"/>
    <tableColumn id="35" xr3:uid="{524BC43D-A36B-44D1-9160-171BC2603CCB}" name="Israel"/>
    <tableColumn id="36" xr3:uid="{44198B90-47C4-48EC-B797-784444C31921}" name="Allemagne"/>
    <tableColumn id="15" xr3:uid="{C7668AAE-3655-4FA8-B4F9-BCADEE038460}" name="Nouvelle Zelande"/>
    <tableColumn id="37" xr3:uid="{06A23BFC-854D-45E2-9F8D-DF0309998849}" name="Pays-Bas"/>
    <tableColumn id="38" xr3:uid="{88236FDE-0F45-4195-A6FA-A8B2A7FC370E}" name="Irlande"/>
    <tableColumn id="39" xr3:uid="{68B7FB4A-87F3-483F-836D-FE77C7CAE622}" name="Espagne"/>
    <tableColumn id="40" xr3:uid="{F0EA963C-8623-4084-ABC1-802DDF745617}" name="Italie"/>
    <tableColumn id="41" xr3:uid="{0221ACEA-33F8-4543-A23A-827595C7CCB0}" name="France"/>
    <tableColumn id="42" xr3:uid="{0D03D1A7-7CE8-44CA-93B9-C72201AE9C3A}" name="Autre Pays" dataDxfId="2">
      <calculatedColumnFormula>100-SUM(Positions_Table[[#This Row],[USA]:[France]])</calculatedColumnFormula>
    </tableColumn>
    <tableColumn id="12" xr3:uid="{E8A10A15-6AF7-4AED-8D48-84F2430242AD}" name="Etats"/>
    <tableColumn id="43" xr3:uid="{6955AA95-535B-44A3-8AF4-B11772CCEC11}" name="Industrie"/>
    <tableColumn id="44" xr3:uid="{A7BAD2C0-BC3C-46DB-8E5A-3BE52A972AD6}" name="Finance"/>
    <tableColumn id="45" xr3:uid="{3DB05494-787F-4791-A91B-F369F50BBCCB}" name="Consommation Cyclique"/>
    <tableColumn id="46" xr3:uid="{F5C5A897-2233-4236-B3B7-E98C0463CFE4}" name="Technologie"/>
    <tableColumn id="47" xr3:uid="{7D6BF6C7-9321-4F09-90B7-7311F503679F}" name="Santé"/>
    <tableColumn id="48" xr3:uid="{5D3E894A-3096-4EA9-97C3-DFF59CAA3A4C}" name="Consommation Defensive"/>
    <tableColumn id="49" xr3:uid="{D0B88430-3160-4BDD-AB88-A9F602474AA9}" name="Communication"/>
    <tableColumn id="50" xr3:uid="{501FB8AA-B04A-4A94-8BBB-4C34328AAA84}" name="Immobilier"/>
    <tableColumn id="51" xr3:uid="{A5919E93-9304-4E17-A494-9128A62A945A}" name="Matières Premières"/>
    <tableColumn id="52" xr3:uid="{F372531A-CF59-477D-9101-9FB12A792FD8}" name="Energie"/>
    <tableColumn id="53" xr3:uid="{226F2DAA-00FC-4F33-882E-E3C0D0AD09E4}" name="Service Publiques"/>
    <tableColumn id="54" xr3:uid="{1F5E8F7F-9A58-42E2-B030-CA9DF7E64D42}" name="Services de consommation"/>
    <tableColumn id="55" xr3:uid="{1F6AF787-17DE-46E8-8043-8BDFE7A058AA}" name="Autre Secteur" dataDxfId="1">
      <calculatedColumnFormula>100-SUM(Positions_Table[[#This Row],[Industrie]:[Services de consommation]])</calculatedColumnFormula>
    </tableColumn>
    <tableColumn id="5" xr3:uid="{EA190F4F-1407-4E0D-B8BC-03F8CD3E18A6}" name="Etats2"/>
    <tableColumn id="6" xr3:uid="{850A99C9-2711-4F88-A870-7A34AC929224}" name="Banque Emetteur"/>
    <tableColumn id="7" xr3:uid="{46B551DF-86C3-4BF8-8B6D-CF11DD3FAD6D}" name="Entreprises"/>
    <tableColumn id="8" xr3:uid="{BDA4CC87-C5E8-49D4-A62C-D030726D1728}" name="Autre Emetteur" dataDxfId="0">
      <calculatedColumnFormula>100-SUM(Positions_Table[[#This Row],[Etats2]:[Entreprises]])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dres_Table" displayName="Ordres_Table" ref="A1:U2" totalsRowShown="0">
  <autoFilter ref="A1:U2" xr:uid="{00000000-0009-0000-0100-000002000000}"/>
  <tableColumns count="21">
    <tableColumn id="1" xr3:uid="{00000000-0010-0000-0100-000001000000}" name="Catégorie"/>
    <tableColumn id="2" xr3:uid="{00000000-0010-0000-0100-000002000000}" name="Statut"/>
    <tableColumn id="3" xr3:uid="{00000000-0010-0000-0100-000003000000}" name="Nom"/>
    <tableColumn id="4" xr3:uid="{00000000-0010-0000-0100-000004000000}" name="Symbole"/>
    <tableColumn id="5" xr3:uid="{00000000-0010-0000-0100-000005000000}" name="Qté"/>
    <tableColumn id="6" xr3:uid="{00000000-0010-0000-0100-000006000000}" name="Type Trans."/>
    <tableColumn id="7" xr3:uid="{00000000-0010-0000-0100-000007000000}" name="Type Ordre"/>
    <tableColumn id="8" xr3:uid="{00000000-0010-0000-0100-000008000000}" name="Cours"/>
    <tableColumn id="9" xr3:uid="{00000000-0010-0000-0100-000009000000}" name="Variation %"/>
    <tableColumn id="10" xr3:uid="{00000000-0010-0000-0100-00000A000000}" name="Qté Exec"/>
    <tableColumn id="11" xr3:uid="{00000000-0010-0000-0100-00000B000000}" name="Date d'exécution"/>
    <tableColumn id="12" xr3:uid="{00000000-0010-0000-0100-00000C000000}" name="Frais"/>
    <tableColumn id="13" xr3:uid="{00000000-0010-0000-0100-00000D000000}" name="Px Limite"/>
    <tableColumn id="14" xr3:uid="{00000000-0010-0000-0100-00000E000000}" name="Px Stop"/>
    <tableColumn id="15" xr3:uid="{00000000-0010-0000-0100-00000F000000}" name="Px Exec"/>
    <tableColumn id="16" xr3:uid="{00000000-0010-0000-0100-000010000000}" name="Dist au marché"/>
    <tableColumn id="17" xr3:uid="{00000000-0010-0000-0100-000011000000}" name="Marché"/>
    <tableColumn id="18" xr3:uid="{00000000-0010-0000-0100-000012000000}" name="Devise"/>
    <tableColumn id="19" xr3:uid="{00000000-0010-0000-0100-000013000000}" name="Validité"/>
    <tableColumn id="20" xr3:uid="{00000000-0010-0000-0100-000014000000}" name="Date création"/>
    <tableColumn id="21" xr3:uid="{00000000-0010-0000-0100-000015000000}" name="Re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sh_Table" displayName="Cash_Table" ref="A1:F3" totalsRowShown="0">
  <autoFilter ref="A1:F3" xr:uid="{00000000-0009-0000-0100-000003000000}"/>
  <tableColumns count="6">
    <tableColumn id="1" xr3:uid="{00000000-0010-0000-0200-000001000000}" name="Catégorie"/>
    <tableColumn id="2" xr3:uid="{00000000-0010-0000-0200-000002000000}" name="Sous-catégorie"/>
    <tableColumn id="3" xr3:uid="{00000000-0010-0000-0200-000003000000}" name="Devise"/>
    <tableColumn id="4" xr3:uid="{00000000-0010-0000-0200-000004000000}" name="Montant"/>
    <tableColumn id="5" xr3:uid="{00000000-0010-0000-0200-000005000000}" name="Change"/>
    <tableColumn id="6" xr3:uid="{00000000-0010-0000-0200-000006000000}" name="Montant EU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ransactions_Table" displayName="Transactions_Table" ref="A1:I2" totalsRowShown="0">
  <autoFilter ref="A1:I2" xr:uid="{00000000-0009-0000-0100-000004000000}"/>
  <tableColumns count="9">
    <tableColumn id="1" xr3:uid="{00000000-0010-0000-0300-000001000000}" name="Nom"/>
    <tableColumn id="2" xr3:uid="{00000000-0010-0000-0300-000002000000}" name="Date"/>
    <tableColumn id="3" xr3:uid="{00000000-0010-0000-0300-000003000000}" name="Date valeur"/>
    <tableColumn id="4" xr3:uid="{00000000-0010-0000-0300-000004000000}" name="Type d'ordre"/>
    <tableColumn id="5" xr3:uid="{00000000-0010-0000-0300-000005000000}" name="Quantité"/>
    <tableColumn id="6" xr3:uid="{00000000-0010-0000-0300-000006000000}" name="Prix"/>
    <tableColumn id="7" xr3:uid="{00000000-0010-0000-0300-000007000000}" name="Change"/>
    <tableColumn id="8" xr3:uid="{00000000-0010-0000-0300-000008000000}" name="Montant"/>
    <tableColumn id="9" xr3:uid="{00000000-0010-0000-0300-000009000000}" name="Balance devi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36"/>
  <sheetViews>
    <sheetView tabSelected="1" workbookViewId="0">
      <selection activeCell="E19" sqref="E19"/>
    </sheetView>
  </sheetViews>
  <sheetFormatPr baseColWidth="10" defaultColWidth="8.7265625" defaultRowHeight="14.5" x14ac:dyDescent="0.35"/>
  <cols>
    <col min="1" max="1" width="13.453125" bestFit="1" customWidth="1"/>
    <col min="2" max="2" width="14.26953125" bestFit="1" customWidth="1"/>
    <col min="3" max="3" width="17.1796875" bestFit="1" customWidth="1"/>
    <col min="4" max="4" width="51.90625" bestFit="1" customWidth="1"/>
    <col min="5" max="5" width="67.81640625" customWidth="1"/>
    <col min="6" max="6" width="25.08984375" customWidth="1"/>
    <col min="7" max="7" width="23.36328125" bestFit="1" customWidth="1"/>
    <col min="8" max="9" width="23.36328125" customWidth="1"/>
    <col min="10" max="10" width="14.54296875" bestFit="1" customWidth="1"/>
    <col min="11" max="11" width="16.7265625" bestFit="1" customWidth="1"/>
    <col min="13" max="13" width="13.1796875" bestFit="1" customWidth="1"/>
    <col min="14" max="14" width="13.1796875" customWidth="1"/>
    <col min="15" max="15" width="14.26953125" bestFit="1" customWidth="1"/>
    <col min="16" max="16" width="13.6328125" customWidth="1"/>
    <col min="23" max="23" width="28.54296875" bestFit="1" customWidth="1"/>
    <col min="35" max="35" width="13.36328125" bestFit="1" customWidth="1"/>
    <col min="36" max="36" width="11.7265625" bestFit="1" customWidth="1"/>
    <col min="37" max="37" width="11.7265625" customWidth="1"/>
    <col min="38" max="38" width="20.453125" bestFit="1" customWidth="1"/>
    <col min="39" max="39" width="9.26953125" bestFit="1" customWidth="1"/>
    <col min="40" max="40" width="14.7265625" bestFit="1" customWidth="1"/>
    <col min="41" max="41" width="22.6328125" bestFit="1" customWidth="1"/>
    <col min="42" max="42" width="26.6328125" bestFit="1" customWidth="1"/>
    <col min="43" max="43" width="14.26953125" bestFit="1" customWidth="1"/>
    <col min="44" max="44" width="17.90625" bestFit="1" customWidth="1"/>
    <col min="45" max="45" width="11" bestFit="1" customWidth="1"/>
    <col min="46" max="46" width="11.7265625" bestFit="1" customWidth="1"/>
    <col min="47" max="47" width="16.453125" bestFit="1" customWidth="1"/>
    <col min="48" max="48" width="11.26953125" bestFit="1" customWidth="1"/>
    <col min="50" max="50" width="17.81640625" bestFit="1" customWidth="1"/>
  </cols>
  <sheetData>
    <row r="1" spans="1:54" x14ac:dyDescent="0.35">
      <c r="A1" t="s">
        <v>179</v>
      </c>
      <c r="B1" t="s">
        <v>80</v>
      </c>
      <c r="C1" t="s">
        <v>125</v>
      </c>
      <c r="D1" t="s">
        <v>1</v>
      </c>
      <c r="E1" t="s">
        <v>184</v>
      </c>
      <c r="F1" t="s">
        <v>2</v>
      </c>
      <c r="G1" s="2" t="s">
        <v>180</v>
      </c>
      <c r="H1" s="2" t="s">
        <v>54</v>
      </c>
      <c r="I1" s="2" t="s">
        <v>173</v>
      </c>
      <c r="J1" s="2" t="s">
        <v>172</v>
      </c>
      <c r="K1" s="2" t="s">
        <v>147</v>
      </c>
      <c r="L1" s="2" t="s">
        <v>135</v>
      </c>
      <c r="M1" s="2" t="s">
        <v>183</v>
      </c>
      <c r="N1" s="2" t="s">
        <v>182</v>
      </c>
      <c r="O1" s="2" t="s">
        <v>181</v>
      </c>
      <c r="P1" s="2" t="s">
        <v>185</v>
      </c>
      <c r="Q1" s="2" t="s">
        <v>186</v>
      </c>
      <c r="R1" s="2" t="s">
        <v>187</v>
      </c>
      <c r="S1" s="2" t="s">
        <v>136</v>
      </c>
      <c r="T1" s="2" t="s">
        <v>188</v>
      </c>
      <c r="U1" s="2" t="s">
        <v>189</v>
      </c>
      <c r="V1" s="2" t="s">
        <v>190</v>
      </c>
      <c r="W1" s="2" t="s">
        <v>191</v>
      </c>
      <c r="X1" s="2" t="s">
        <v>192</v>
      </c>
      <c r="Y1" s="2" t="s">
        <v>193</v>
      </c>
      <c r="Z1" s="2" t="s">
        <v>194</v>
      </c>
      <c r="AA1" s="2" t="s">
        <v>195</v>
      </c>
      <c r="AB1" s="2" t="s">
        <v>137</v>
      </c>
      <c r="AC1" s="2" t="s">
        <v>196</v>
      </c>
      <c r="AD1" s="2" t="s">
        <v>177</v>
      </c>
      <c r="AE1" s="2" t="s">
        <v>197</v>
      </c>
      <c r="AF1" s="2" t="s">
        <v>138</v>
      </c>
      <c r="AG1" s="2" t="s">
        <v>198</v>
      </c>
      <c r="AH1" s="2" t="s">
        <v>199</v>
      </c>
      <c r="AI1" s="2" t="s">
        <v>139</v>
      </c>
      <c r="AJ1" s="2" t="s">
        <v>200</v>
      </c>
      <c r="AK1" s="2" t="s">
        <v>149</v>
      </c>
      <c r="AL1" s="2" t="s">
        <v>201</v>
      </c>
      <c r="AM1" s="2" t="s">
        <v>140</v>
      </c>
      <c r="AN1" s="2" t="s">
        <v>202</v>
      </c>
      <c r="AO1" s="2" t="s">
        <v>203</v>
      </c>
      <c r="AP1" s="2" t="s">
        <v>204</v>
      </c>
      <c r="AQ1" s="2" t="s">
        <v>205</v>
      </c>
      <c r="AR1" s="2" t="s">
        <v>206</v>
      </c>
      <c r="AS1" s="2" t="s">
        <v>207</v>
      </c>
      <c r="AT1" s="2" t="s">
        <v>208</v>
      </c>
      <c r="AU1" s="2" t="s">
        <v>209</v>
      </c>
      <c r="AV1" s="2" t="s">
        <v>210</v>
      </c>
      <c r="AW1" s="2" t="s">
        <v>211</v>
      </c>
      <c r="AX1" s="2" t="s">
        <v>178</v>
      </c>
      <c r="AY1" s="2" t="s">
        <v>164</v>
      </c>
      <c r="AZ1" s="2" t="s">
        <v>212</v>
      </c>
      <c r="BA1" s="2" t="s">
        <v>150</v>
      </c>
      <c r="BB1" s="2" t="s">
        <v>213</v>
      </c>
    </row>
    <row r="2" spans="1:54" x14ac:dyDescent="0.35">
      <c r="A2" t="s">
        <v>6</v>
      </c>
      <c r="B2" t="s">
        <v>70</v>
      </c>
      <c r="C2" t="s">
        <v>99</v>
      </c>
      <c r="D2" t="s">
        <v>7</v>
      </c>
      <c r="E2" t="s">
        <v>141</v>
      </c>
      <c r="F2" t="s">
        <v>8</v>
      </c>
      <c r="L2" s="3">
        <v>6.9999999999999999E-4</v>
      </c>
      <c r="M2" t="s">
        <v>142</v>
      </c>
      <c r="O2" t="s">
        <v>144</v>
      </c>
      <c r="P2">
        <v>16513</v>
      </c>
      <c r="Q2">
        <v>612</v>
      </c>
      <c r="R2" t="s">
        <v>145</v>
      </c>
      <c r="U2">
        <v>20</v>
      </c>
      <c r="Z2">
        <v>14</v>
      </c>
      <c r="AC2">
        <v>14</v>
      </c>
      <c r="AI2">
        <v>14</v>
      </c>
      <c r="AJ2">
        <f>100-SUM(Positions_Table[[#This Row],[USA]:[France]])</f>
        <v>38</v>
      </c>
      <c r="AL2">
        <v>18</v>
      </c>
      <c r="AM2">
        <v>24</v>
      </c>
      <c r="AN2">
        <v>8</v>
      </c>
      <c r="AO2">
        <v>8</v>
      </c>
      <c r="AP2">
        <v>11</v>
      </c>
      <c r="AQ2">
        <v>7</v>
      </c>
      <c r="AX2">
        <f>100-SUM(Positions_Table[[#This Row],[Industrie]:[Services de consommation]])</f>
        <v>24</v>
      </c>
      <c r="BB2">
        <f>100-SUM(Positions_Table[[#This Row],[Etats2]:[Entreprises]])</f>
        <v>100</v>
      </c>
    </row>
    <row r="3" spans="1:54" x14ac:dyDescent="0.35">
      <c r="A3" t="s">
        <v>6</v>
      </c>
      <c r="B3" t="s">
        <v>75</v>
      </c>
      <c r="C3" t="s">
        <v>99</v>
      </c>
      <c r="D3" t="s">
        <v>9</v>
      </c>
      <c r="E3" t="s">
        <v>146</v>
      </c>
      <c r="F3" t="s">
        <v>10</v>
      </c>
      <c r="L3" s="3">
        <v>6.0000000000000001E-3</v>
      </c>
      <c r="M3" t="s">
        <v>143</v>
      </c>
      <c r="O3" t="s">
        <v>144</v>
      </c>
      <c r="P3">
        <v>1561</v>
      </c>
      <c r="Q3">
        <v>47</v>
      </c>
      <c r="R3" t="s">
        <v>145</v>
      </c>
      <c r="S3">
        <v>52</v>
      </c>
      <c r="T3">
        <v>6</v>
      </c>
      <c r="U3">
        <v>14</v>
      </c>
      <c r="AI3">
        <v>5</v>
      </c>
      <c r="AJ3">
        <f>100-SUM(Positions_Table[[#This Row],[USA]:[France]])</f>
        <v>23</v>
      </c>
      <c r="AL3">
        <v>85</v>
      </c>
      <c r="AO3">
        <v>2</v>
      </c>
      <c r="AX3">
        <f>100-SUM(Positions_Table[[#This Row],[Industrie]:[Services de consommation]])</f>
        <v>13</v>
      </c>
      <c r="BB3">
        <f>100-SUM(Positions_Table[[#This Row],[Etats2]:[Entreprises]])</f>
        <v>100</v>
      </c>
    </row>
    <row r="4" spans="1:54" x14ac:dyDescent="0.35">
      <c r="A4" t="s">
        <v>11</v>
      </c>
      <c r="B4" t="s">
        <v>71</v>
      </c>
      <c r="C4" t="s">
        <v>99</v>
      </c>
      <c r="D4" t="s">
        <v>12</v>
      </c>
      <c r="E4" t="s">
        <v>12</v>
      </c>
      <c r="F4" t="s">
        <v>13</v>
      </c>
      <c r="K4" t="s">
        <v>148</v>
      </c>
      <c r="L4" s="3">
        <v>6.6E-3</v>
      </c>
      <c r="M4" t="s">
        <v>142</v>
      </c>
      <c r="O4" t="s">
        <v>144</v>
      </c>
      <c r="P4">
        <v>5310</v>
      </c>
      <c r="Q4">
        <v>50</v>
      </c>
      <c r="R4" t="s">
        <v>145</v>
      </c>
      <c r="AJ4">
        <f>100-SUM(Positions_Table[[#This Row],[USA]:[France]])</f>
        <v>100</v>
      </c>
      <c r="AX4">
        <f>100-SUM(Positions_Table[[#This Row],[Industrie]:[Services de consommation]])</f>
        <v>100</v>
      </c>
      <c r="AY4">
        <v>1</v>
      </c>
      <c r="AZ4">
        <v>74</v>
      </c>
      <c r="BA4">
        <v>10</v>
      </c>
      <c r="BB4">
        <f>100-SUM(Positions_Table[[#This Row],[Etats2]:[Entreprises]])</f>
        <v>15</v>
      </c>
    </row>
    <row r="5" spans="1:54" ht="35" customHeight="1" x14ac:dyDescent="0.35">
      <c r="A5" t="s">
        <v>6</v>
      </c>
      <c r="B5" t="s">
        <v>76</v>
      </c>
      <c r="C5" t="s">
        <v>99</v>
      </c>
      <c r="D5" t="s">
        <v>14</v>
      </c>
      <c r="E5" t="s">
        <v>151</v>
      </c>
      <c r="F5" t="s">
        <v>15</v>
      </c>
      <c r="L5" s="3">
        <v>1.5E-3</v>
      </c>
      <c r="M5" t="s">
        <v>142</v>
      </c>
      <c r="O5" t="s">
        <v>144</v>
      </c>
      <c r="P5">
        <v>330</v>
      </c>
      <c r="Q5">
        <v>167</v>
      </c>
      <c r="R5" t="s">
        <v>145</v>
      </c>
      <c r="T5">
        <v>99.6</v>
      </c>
      <c r="AJ5">
        <f>100-SUM(Positions_Table[[#This Row],[USA]:[France]])</f>
        <v>0.40000000000000568</v>
      </c>
      <c r="AL5">
        <v>20</v>
      </c>
      <c r="AM5">
        <v>22</v>
      </c>
      <c r="AN5">
        <v>16</v>
      </c>
      <c r="AO5">
        <v>16</v>
      </c>
      <c r="AP5">
        <v>12</v>
      </c>
      <c r="AQ5">
        <v>1</v>
      </c>
      <c r="AR5">
        <v>5</v>
      </c>
      <c r="AS5">
        <v>7</v>
      </c>
      <c r="AX5">
        <f>100-SUM(Positions_Table[[#This Row],[Industrie]:[Services de consommation]])</f>
        <v>1</v>
      </c>
      <c r="BB5">
        <f>100-SUM(Positions_Table[[#This Row],[Etats2]:[Entreprises]])</f>
        <v>100</v>
      </c>
    </row>
    <row r="6" spans="1:54" x14ac:dyDescent="0.35">
      <c r="A6" t="s">
        <v>11</v>
      </c>
      <c r="B6" t="s">
        <v>72</v>
      </c>
      <c r="C6" t="s">
        <v>99</v>
      </c>
      <c r="D6" t="s">
        <v>16</v>
      </c>
      <c r="E6" t="s">
        <v>152</v>
      </c>
      <c r="F6">
        <v>171289902</v>
      </c>
      <c r="L6" s="3">
        <v>1.6500000000000001E-2</v>
      </c>
      <c r="M6" t="s">
        <v>142</v>
      </c>
      <c r="N6">
        <v>9</v>
      </c>
      <c r="O6" t="s">
        <v>144</v>
      </c>
      <c r="P6">
        <v>500</v>
      </c>
      <c r="Q6">
        <v>50</v>
      </c>
      <c r="R6" t="s">
        <v>145</v>
      </c>
      <c r="S6">
        <v>44</v>
      </c>
      <c r="U6">
        <v>10</v>
      </c>
      <c r="AI6">
        <v>8</v>
      </c>
      <c r="AJ6">
        <f>100-SUM(Positions_Table[[#This Row],[USA]:[France]])</f>
        <v>38</v>
      </c>
      <c r="AL6">
        <v>100</v>
      </c>
      <c r="AX6">
        <f>100-SUM(Positions_Table[[#This Row],[Industrie]:[Services de consommation]])</f>
        <v>0</v>
      </c>
      <c r="BB6">
        <f>100-SUM(Positions_Table[[#This Row],[Etats2]:[Entreprises]])</f>
        <v>100</v>
      </c>
    </row>
    <row r="7" spans="1:54" x14ac:dyDescent="0.35">
      <c r="A7" t="s">
        <v>11</v>
      </c>
      <c r="B7" t="s">
        <v>73</v>
      </c>
      <c r="C7" t="s">
        <v>154</v>
      </c>
      <c r="D7" t="s">
        <v>17</v>
      </c>
      <c r="E7" t="s">
        <v>17</v>
      </c>
      <c r="F7" t="s">
        <v>18</v>
      </c>
      <c r="L7" s="3">
        <v>2.1499999999999998E-2</v>
      </c>
      <c r="M7" t="s">
        <v>142</v>
      </c>
      <c r="N7">
        <v>8</v>
      </c>
      <c r="O7" t="s">
        <v>144</v>
      </c>
      <c r="P7">
        <v>145</v>
      </c>
      <c r="Q7">
        <v>50</v>
      </c>
      <c r="R7" t="s">
        <v>145</v>
      </c>
      <c r="AJ7">
        <f>100-SUM(Positions_Table[[#This Row],[USA]:[France]])</f>
        <v>100</v>
      </c>
      <c r="AX7">
        <f>100-SUM(Positions_Table[[#This Row],[Industrie]:[Services de consommation]])</f>
        <v>100</v>
      </c>
      <c r="BB7">
        <f>100-SUM(Positions_Table[[#This Row],[Etats2]:[Entreprises]])</f>
        <v>100</v>
      </c>
    </row>
    <row r="8" spans="1:54" x14ac:dyDescent="0.35">
      <c r="A8" t="s">
        <v>131</v>
      </c>
      <c r="B8" t="s">
        <v>77</v>
      </c>
      <c r="C8" t="s">
        <v>153</v>
      </c>
      <c r="D8" t="s">
        <v>19</v>
      </c>
      <c r="E8" t="s">
        <v>155</v>
      </c>
      <c r="F8" t="s">
        <v>20</v>
      </c>
      <c r="L8" s="3">
        <v>4.0000000000000001E-3</v>
      </c>
      <c r="M8" t="s">
        <v>142</v>
      </c>
      <c r="O8" t="s">
        <v>144</v>
      </c>
      <c r="P8">
        <v>4120</v>
      </c>
      <c r="Q8">
        <v>1</v>
      </c>
      <c r="R8" t="s">
        <v>145</v>
      </c>
      <c r="AJ8">
        <f>100-SUM(Positions_Table[[#This Row],[USA]:[France]])</f>
        <v>100</v>
      </c>
      <c r="AX8">
        <f>100-SUM(Positions_Table[[#This Row],[Industrie]:[Services de consommation]])</f>
        <v>100</v>
      </c>
      <c r="BB8">
        <f>100-SUM(Positions_Table[[#This Row],[Etats2]:[Entreprises]])</f>
        <v>100</v>
      </c>
    </row>
    <row r="9" spans="1:54" x14ac:dyDescent="0.35">
      <c r="A9" t="s">
        <v>131</v>
      </c>
      <c r="B9" t="s">
        <v>78</v>
      </c>
      <c r="C9" t="s">
        <v>99</v>
      </c>
      <c r="D9" t="s">
        <v>21</v>
      </c>
      <c r="E9" t="s">
        <v>156</v>
      </c>
      <c r="F9" t="s">
        <v>22</v>
      </c>
      <c r="L9" s="3">
        <v>5.0000000000000001E-3</v>
      </c>
      <c r="M9" t="s">
        <v>142</v>
      </c>
      <c r="O9" t="s">
        <v>144</v>
      </c>
      <c r="P9">
        <v>1482</v>
      </c>
      <c r="Q9">
        <v>30</v>
      </c>
      <c r="R9" t="s">
        <v>145</v>
      </c>
      <c r="AA9">
        <v>94</v>
      </c>
      <c r="AJ9">
        <f>100-SUM(Positions_Table[[#This Row],[USA]:[France]])</f>
        <v>6</v>
      </c>
      <c r="AN9">
        <v>44</v>
      </c>
      <c r="AO9">
        <v>24</v>
      </c>
      <c r="AR9">
        <v>28</v>
      </c>
      <c r="AX9">
        <f>100-SUM(Positions_Table[[#This Row],[Industrie]:[Services de consommation]])</f>
        <v>4</v>
      </c>
      <c r="BB9">
        <f>100-SUM(Positions_Table[[#This Row],[Etats2]:[Entreprises]])</f>
        <v>100</v>
      </c>
    </row>
    <row r="10" spans="1:54" x14ac:dyDescent="0.35">
      <c r="A10" t="s">
        <v>131</v>
      </c>
      <c r="B10" t="s">
        <v>79</v>
      </c>
      <c r="C10" t="s">
        <v>98</v>
      </c>
      <c r="D10" t="s">
        <v>23</v>
      </c>
      <c r="E10" t="s">
        <v>158</v>
      </c>
      <c r="F10" t="s">
        <v>24</v>
      </c>
      <c r="J10">
        <v>47118</v>
      </c>
      <c r="K10" t="s">
        <v>148</v>
      </c>
      <c r="L10" s="3">
        <v>1.1999999999999999E-3</v>
      </c>
      <c r="M10" t="s">
        <v>142</v>
      </c>
      <c r="O10" t="s">
        <v>144</v>
      </c>
      <c r="P10">
        <v>969</v>
      </c>
      <c r="Q10">
        <v>388</v>
      </c>
      <c r="R10" t="s">
        <v>145</v>
      </c>
      <c r="AJ10">
        <f>100-SUM(Positions_Table[[#This Row],[USA]:[France]])</f>
        <v>100</v>
      </c>
      <c r="AX10">
        <f>100-SUM(Positions_Table[[#This Row],[Industrie]:[Services de consommation]])</f>
        <v>100</v>
      </c>
      <c r="AZ10">
        <v>50</v>
      </c>
      <c r="BA10">
        <v>50</v>
      </c>
      <c r="BB10">
        <f>100-SUM(Positions_Table[[#This Row],[Etats2]:[Entreprises]])</f>
        <v>0</v>
      </c>
    </row>
    <row r="11" spans="1:54" x14ac:dyDescent="0.35">
      <c r="A11" t="s">
        <v>131</v>
      </c>
      <c r="B11" t="s">
        <v>81</v>
      </c>
      <c r="C11" t="s">
        <v>99</v>
      </c>
      <c r="D11" t="s">
        <v>25</v>
      </c>
      <c r="E11" t="s">
        <v>157</v>
      </c>
      <c r="F11" t="s">
        <v>26</v>
      </c>
      <c r="L11" s="3">
        <v>4.0000000000000001E-3</v>
      </c>
      <c r="M11" t="s">
        <v>142</v>
      </c>
      <c r="O11" t="s">
        <v>144</v>
      </c>
      <c r="P11">
        <v>3109</v>
      </c>
      <c r="Q11">
        <v>137</v>
      </c>
      <c r="R11" t="s">
        <v>145</v>
      </c>
      <c r="S11">
        <v>51</v>
      </c>
      <c r="T11">
        <v>16</v>
      </c>
      <c r="Z11">
        <v>6</v>
      </c>
      <c r="AC11">
        <v>7</v>
      </c>
      <c r="AJ11">
        <f>100-SUM(Positions_Table[[#This Row],[USA]:[France]])</f>
        <v>20</v>
      </c>
      <c r="AL11">
        <v>26</v>
      </c>
      <c r="AO11">
        <v>66</v>
      </c>
      <c r="AP11">
        <v>3</v>
      </c>
      <c r="AX11">
        <f>100-SUM(Positions_Table[[#This Row],[Industrie]:[Services de consommation]])</f>
        <v>5</v>
      </c>
      <c r="BB11">
        <f>100-SUM(Positions_Table[[#This Row],[Etats2]:[Entreprises]])</f>
        <v>100</v>
      </c>
    </row>
    <row r="12" spans="1:54" x14ac:dyDescent="0.35">
      <c r="A12" t="s">
        <v>131</v>
      </c>
      <c r="B12" t="s">
        <v>82</v>
      </c>
      <c r="C12" t="s">
        <v>99</v>
      </c>
      <c r="D12" t="s">
        <v>27</v>
      </c>
      <c r="E12" t="s">
        <v>159</v>
      </c>
      <c r="F12" t="s">
        <v>28</v>
      </c>
      <c r="L12" s="3">
        <v>3.5000000000000001E-3</v>
      </c>
      <c r="M12" t="s">
        <v>142</v>
      </c>
      <c r="O12" t="s">
        <v>144</v>
      </c>
      <c r="P12">
        <v>158</v>
      </c>
      <c r="Q12">
        <v>277</v>
      </c>
      <c r="R12" t="s">
        <v>145</v>
      </c>
      <c r="S12">
        <v>63</v>
      </c>
      <c r="T12">
        <v>11</v>
      </c>
      <c r="V12">
        <v>4</v>
      </c>
      <c r="Z12">
        <v>4</v>
      </c>
      <c r="AJ12">
        <f>100-SUM(Positions_Table[[#This Row],[USA]:[France]])</f>
        <v>18</v>
      </c>
      <c r="AL12">
        <v>7</v>
      </c>
      <c r="AM12">
        <v>13</v>
      </c>
      <c r="AN12">
        <v>6</v>
      </c>
      <c r="AO12">
        <v>23</v>
      </c>
      <c r="AP12">
        <v>15</v>
      </c>
      <c r="AQ12">
        <v>10</v>
      </c>
      <c r="AR12">
        <v>11</v>
      </c>
      <c r="AU12">
        <v>3</v>
      </c>
      <c r="AX12">
        <f>100-SUM(Positions_Table[[#This Row],[Industrie]:[Services de consommation]])</f>
        <v>12</v>
      </c>
      <c r="BB12">
        <f>100-SUM(Positions_Table[[#This Row],[Etats2]:[Entreprises]])</f>
        <v>100</v>
      </c>
    </row>
    <row r="13" spans="1:54" x14ac:dyDescent="0.35">
      <c r="A13" t="s">
        <v>131</v>
      </c>
      <c r="B13" t="s">
        <v>84</v>
      </c>
      <c r="C13" t="s">
        <v>99</v>
      </c>
      <c r="D13" t="s">
        <v>29</v>
      </c>
      <c r="E13" t="s">
        <v>83</v>
      </c>
      <c r="F13" t="s">
        <v>30</v>
      </c>
      <c r="L13" s="3">
        <v>4.0000000000000001E-3</v>
      </c>
      <c r="M13" t="s">
        <v>142</v>
      </c>
      <c r="O13" t="s">
        <v>144</v>
      </c>
      <c r="P13">
        <v>1281</v>
      </c>
      <c r="Q13">
        <v>110</v>
      </c>
      <c r="R13" t="s">
        <v>145</v>
      </c>
      <c r="S13">
        <v>64</v>
      </c>
      <c r="T13">
        <v>12</v>
      </c>
      <c r="AJ13">
        <f>100-SUM(Positions_Table[[#This Row],[USA]:[France]])</f>
        <v>24</v>
      </c>
      <c r="AL13">
        <v>7</v>
      </c>
      <c r="AO13">
        <v>83</v>
      </c>
      <c r="AS13">
        <v>3</v>
      </c>
      <c r="AX13">
        <f>100-SUM(Positions_Table[[#This Row],[Industrie]:[Services de consommation]])</f>
        <v>7</v>
      </c>
      <c r="BB13">
        <f>100-SUM(Positions_Table[[#This Row],[Etats2]:[Entreprises]])</f>
        <v>100</v>
      </c>
    </row>
    <row r="14" spans="1:54" x14ac:dyDescent="0.35">
      <c r="A14" t="s">
        <v>11</v>
      </c>
      <c r="B14" t="s">
        <v>74</v>
      </c>
      <c r="C14" t="s">
        <v>161</v>
      </c>
      <c r="D14" t="s">
        <v>31</v>
      </c>
      <c r="E14" t="s">
        <v>162</v>
      </c>
      <c r="F14" t="s">
        <v>32</v>
      </c>
      <c r="L14" s="3">
        <v>1.4E-2</v>
      </c>
      <c r="M14" t="s">
        <v>142</v>
      </c>
      <c r="O14" t="s">
        <v>144</v>
      </c>
      <c r="P14">
        <v>17000</v>
      </c>
      <c r="Q14">
        <v>100</v>
      </c>
      <c r="R14" t="s">
        <v>145</v>
      </c>
      <c r="S14">
        <v>63</v>
      </c>
      <c r="U14">
        <v>4</v>
      </c>
      <c r="AC14">
        <v>10</v>
      </c>
      <c r="AI14">
        <v>10</v>
      </c>
      <c r="AJ14">
        <f>100-SUM(Positions_Table[[#This Row],[USA]:[France]])</f>
        <v>13</v>
      </c>
      <c r="AL14">
        <v>11</v>
      </c>
      <c r="AM14">
        <v>18</v>
      </c>
      <c r="AN14">
        <v>10</v>
      </c>
      <c r="AO14">
        <v>27</v>
      </c>
      <c r="AP14">
        <v>11</v>
      </c>
      <c r="AQ14">
        <v>5</v>
      </c>
      <c r="AR14">
        <v>8</v>
      </c>
      <c r="AU14">
        <v>6</v>
      </c>
      <c r="AX14">
        <f>100-SUM(Positions_Table[[#This Row],[Industrie]:[Services de consommation]])</f>
        <v>4</v>
      </c>
      <c r="BB14">
        <f>100-SUM(Positions_Table[[#This Row],[Etats2]:[Entreprises]])</f>
        <v>100</v>
      </c>
    </row>
    <row r="15" spans="1:54" x14ac:dyDescent="0.35">
      <c r="A15" t="s">
        <v>131</v>
      </c>
      <c r="B15" t="s">
        <v>85</v>
      </c>
      <c r="C15" t="s">
        <v>99</v>
      </c>
      <c r="D15" t="s">
        <v>33</v>
      </c>
      <c r="E15" t="s">
        <v>86</v>
      </c>
      <c r="F15" t="s">
        <v>34</v>
      </c>
      <c r="L15" s="3">
        <v>5.4999999999999997E-3</v>
      </c>
      <c r="M15" t="s">
        <v>142</v>
      </c>
      <c r="O15" t="s">
        <v>144</v>
      </c>
      <c r="P15">
        <v>4878</v>
      </c>
      <c r="Q15">
        <v>1321</v>
      </c>
      <c r="R15" t="s">
        <v>163</v>
      </c>
      <c r="S15">
        <v>68</v>
      </c>
      <c r="T15">
        <v>5</v>
      </c>
      <c r="U15">
        <v>3</v>
      </c>
      <c r="V15">
        <v>3</v>
      </c>
      <c r="AJ15">
        <f>100-SUM(Positions_Table[[#This Row],[USA]:[France]])</f>
        <v>21</v>
      </c>
      <c r="AL15">
        <v>10</v>
      </c>
      <c r="AM15">
        <v>15</v>
      </c>
      <c r="AN15">
        <v>10</v>
      </c>
      <c r="AO15">
        <v>28</v>
      </c>
      <c r="AP15">
        <v>9</v>
      </c>
      <c r="AQ15">
        <v>5</v>
      </c>
      <c r="AR15">
        <v>9</v>
      </c>
      <c r="AU15">
        <v>3</v>
      </c>
      <c r="AX15">
        <f>100-SUM(Positions_Table[[#This Row],[Industrie]:[Services de consommation]])</f>
        <v>11</v>
      </c>
      <c r="BB15">
        <f>100-SUM(Positions_Table[[#This Row],[Etats2]:[Entreprises]])</f>
        <v>100</v>
      </c>
    </row>
    <row r="16" spans="1:54" x14ac:dyDescent="0.35">
      <c r="A16" t="s">
        <v>131</v>
      </c>
      <c r="B16" t="s">
        <v>88</v>
      </c>
      <c r="C16" t="s">
        <v>99</v>
      </c>
      <c r="D16" t="s">
        <v>35</v>
      </c>
      <c r="E16" t="s">
        <v>87</v>
      </c>
      <c r="F16" t="s">
        <v>36</v>
      </c>
      <c r="L16" s="3">
        <v>1.1999999999999999E-3</v>
      </c>
      <c r="M16" t="s">
        <v>142</v>
      </c>
      <c r="O16" t="s">
        <v>144</v>
      </c>
      <c r="P16">
        <v>4437</v>
      </c>
      <c r="Q16">
        <v>180</v>
      </c>
      <c r="R16" t="s">
        <v>145</v>
      </c>
      <c r="T16">
        <v>100</v>
      </c>
      <c r="AJ16">
        <f>100-SUM(Positions_Table[[#This Row],[USA]:[France]])</f>
        <v>0</v>
      </c>
      <c r="AL16">
        <v>25</v>
      </c>
      <c r="AM16">
        <v>17</v>
      </c>
      <c r="AN16">
        <v>17</v>
      </c>
      <c r="AO16">
        <v>14</v>
      </c>
      <c r="AP16">
        <v>7</v>
      </c>
      <c r="AQ16">
        <v>5</v>
      </c>
      <c r="AX16">
        <f>100-SUM(Positions_Table[[#This Row],[Industrie]:[Services de consommation]])</f>
        <v>15</v>
      </c>
      <c r="BB16">
        <f>100-SUM(Positions_Table[[#This Row],[Etats2]:[Entreprises]])</f>
        <v>100</v>
      </c>
    </row>
    <row r="17" spans="1:54" x14ac:dyDescent="0.35">
      <c r="A17" t="s">
        <v>131</v>
      </c>
      <c r="B17" t="s">
        <v>90</v>
      </c>
      <c r="C17" t="s">
        <v>99</v>
      </c>
      <c r="D17" t="s">
        <v>37</v>
      </c>
      <c r="E17" t="s">
        <v>89</v>
      </c>
      <c r="F17" t="s">
        <v>38</v>
      </c>
      <c r="L17" s="3">
        <v>2.5000000000000001E-3</v>
      </c>
      <c r="M17" t="s">
        <v>142</v>
      </c>
      <c r="O17" t="s">
        <v>144</v>
      </c>
      <c r="P17">
        <v>2997</v>
      </c>
      <c r="Q17">
        <v>118</v>
      </c>
      <c r="R17" t="s">
        <v>145</v>
      </c>
      <c r="S17">
        <v>68</v>
      </c>
      <c r="T17">
        <v>3</v>
      </c>
      <c r="U17">
        <v>5</v>
      </c>
      <c r="Z17">
        <v>8</v>
      </c>
      <c r="AJ17">
        <f>100-SUM(Positions_Table[[#This Row],[USA]:[France]])</f>
        <v>16</v>
      </c>
      <c r="AP17">
        <v>100</v>
      </c>
      <c r="AX17">
        <f>100-SUM(Positions_Table[[#This Row],[Industrie]:[Services de consommation]])</f>
        <v>0</v>
      </c>
      <c r="BB17">
        <f>100-SUM(Positions_Table[[#This Row],[Etats2]:[Entreprises]])</f>
        <v>100</v>
      </c>
    </row>
    <row r="18" spans="1:54" x14ac:dyDescent="0.35">
      <c r="A18" t="s">
        <v>131</v>
      </c>
      <c r="B18" t="s">
        <v>92</v>
      </c>
      <c r="C18" t="s">
        <v>99</v>
      </c>
      <c r="D18" t="s">
        <v>39</v>
      </c>
      <c r="E18" t="s">
        <v>91</v>
      </c>
      <c r="F18" t="s">
        <v>40</v>
      </c>
      <c r="L18" s="3">
        <v>2.5000000000000001E-3</v>
      </c>
      <c r="M18" t="s">
        <v>142</v>
      </c>
      <c r="O18" t="s">
        <v>144</v>
      </c>
      <c r="P18">
        <v>541</v>
      </c>
      <c r="Q18">
        <v>74</v>
      </c>
      <c r="R18" t="s">
        <v>145</v>
      </c>
      <c r="S18">
        <v>62</v>
      </c>
      <c r="U18">
        <v>7</v>
      </c>
      <c r="AG18">
        <v>8</v>
      </c>
      <c r="AH18">
        <v>5</v>
      </c>
      <c r="AJ18">
        <f>100-SUM(Positions_Table[[#This Row],[USA]:[France]])</f>
        <v>18</v>
      </c>
      <c r="AV18">
        <v>100</v>
      </c>
      <c r="AX18">
        <f>100-SUM(Positions_Table[[#This Row],[Industrie]:[Services de consommation]])</f>
        <v>0</v>
      </c>
      <c r="BB18">
        <f>100-SUM(Positions_Table[[#This Row],[Etats2]:[Entreprises]])</f>
        <v>100</v>
      </c>
    </row>
    <row r="19" spans="1:54" x14ac:dyDescent="0.35">
      <c r="A19" t="s">
        <v>131</v>
      </c>
      <c r="B19" t="s">
        <v>94</v>
      </c>
      <c r="C19" t="s">
        <v>99</v>
      </c>
      <c r="D19" t="s">
        <v>41</v>
      </c>
      <c r="E19" t="s">
        <v>93</v>
      </c>
      <c r="F19" t="s">
        <v>42</v>
      </c>
      <c r="L19" s="3">
        <v>2.5000000000000001E-3</v>
      </c>
      <c r="M19" t="s">
        <v>142</v>
      </c>
      <c r="O19" t="s">
        <v>144</v>
      </c>
      <c r="P19">
        <v>364</v>
      </c>
      <c r="Q19">
        <v>154</v>
      </c>
      <c r="R19" t="s">
        <v>163</v>
      </c>
      <c r="S19">
        <v>43</v>
      </c>
      <c r="U19">
        <v>23</v>
      </c>
      <c r="AH19">
        <v>4</v>
      </c>
      <c r="AI19">
        <v>8</v>
      </c>
      <c r="AJ19">
        <f>100-SUM(Positions_Table[[#This Row],[USA]:[France]])</f>
        <v>22</v>
      </c>
      <c r="AK19">
        <v>100</v>
      </c>
      <c r="AX19">
        <f>100-SUM(Positions_Table[[#This Row],[Industrie]:[Services de consommation]])</f>
        <v>100</v>
      </c>
      <c r="BB19">
        <f>100-SUM(Positions_Table[[#This Row],[Etats2]:[Entreprises]])</f>
        <v>100</v>
      </c>
    </row>
    <row r="20" spans="1:54" x14ac:dyDescent="0.35">
      <c r="A20" t="s">
        <v>131</v>
      </c>
      <c r="B20" t="s">
        <v>96</v>
      </c>
      <c r="C20" t="s">
        <v>99</v>
      </c>
      <c r="D20" t="s">
        <v>95</v>
      </c>
      <c r="E20" t="s">
        <v>165</v>
      </c>
      <c r="L20" s="3">
        <v>2.7000000000000001E-3</v>
      </c>
      <c r="M20" t="s">
        <v>142</v>
      </c>
      <c r="O20" t="s">
        <v>144</v>
      </c>
      <c r="P20">
        <v>78</v>
      </c>
      <c r="Q20">
        <v>494</v>
      </c>
      <c r="R20" t="s">
        <v>145</v>
      </c>
      <c r="AA20">
        <v>100</v>
      </c>
      <c r="AJ20">
        <f>100-SUM(Positions_Table[[#This Row],[USA]:[France]])</f>
        <v>0</v>
      </c>
      <c r="AL20">
        <v>4</v>
      </c>
      <c r="AM20">
        <v>19</v>
      </c>
      <c r="AN20">
        <v>28</v>
      </c>
      <c r="AO20">
        <v>8</v>
      </c>
      <c r="AP20">
        <v>4</v>
      </c>
      <c r="AQ20">
        <v>3</v>
      </c>
      <c r="AR20">
        <v>22</v>
      </c>
      <c r="AS20">
        <v>1</v>
      </c>
      <c r="AT20">
        <v>4</v>
      </c>
      <c r="AU20">
        <v>1</v>
      </c>
      <c r="AX20">
        <f>100-SUM(Positions_Table[[#This Row],[Industrie]:[Services de consommation]])</f>
        <v>6</v>
      </c>
      <c r="BB20">
        <f>100-SUM(Positions_Table[[#This Row],[Etats2]:[Entreprises]])</f>
        <v>100</v>
      </c>
    </row>
    <row r="21" spans="1:54" x14ac:dyDescent="0.35">
      <c r="A21" t="s">
        <v>131</v>
      </c>
      <c r="B21" t="s">
        <v>97</v>
      </c>
      <c r="C21" t="s">
        <v>100</v>
      </c>
      <c r="D21" t="s">
        <v>101</v>
      </c>
      <c r="E21" t="s">
        <v>166</v>
      </c>
      <c r="J21">
        <v>46752</v>
      </c>
      <c r="L21" s="3">
        <v>1.1999999999999999E-3</v>
      </c>
      <c r="M21" t="s">
        <v>142</v>
      </c>
      <c r="O21" t="s">
        <v>144</v>
      </c>
      <c r="P21">
        <v>8</v>
      </c>
      <c r="Q21">
        <v>208</v>
      </c>
      <c r="R21" t="s">
        <v>145</v>
      </c>
      <c r="AJ21">
        <f>100-SUM(Positions_Table[[#This Row],[USA]:[France]])</f>
        <v>100</v>
      </c>
      <c r="AX21">
        <f>100-SUM(Positions_Table[[#This Row],[Industrie]:[Services de consommation]])</f>
        <v>100</v>
      </c>
      <c r="AZ21">
        <v>50</v>
      </c>
      <c r="BA21">
        <v>50</v>
      </c>
      <c r="BB21">
        <f>100-SUM(Positions_Table[[#This Row],[Etats2]:[Entreprises]])</f>
        <v>0</v>
      </c>
    </row>
    <row r="22" spans="1:54" x14ac:dyDescent="0.35">
      <c r="A22" t="s">
        <v>131</v>
      </c>
      <c r="B22" t="s">
        <v>128</v>
      </c>
      <c r="C22" t="s">
        <v>100</v>
      </c>
      <c r="D22" t="s">
        <v>129</v>
      </c>
      <c r="E22" t="s">
        <v>167</v>
      </c>
      <c r="J22">
        <v>46752</v>
      </c>
      <c r="L22" s="3">
        <v>1.1999999999999999E-3</v>
      </c>
      <c r="M22" t="s">
        <v>143</v>
      </c>
      <c r="O22" t="s">
        <v>144</v>
      </c>
      <c r="P22">
        <v>8</v>
      </c>
      <c r="Q22">
        <v>208</v>
      </c>
      <c r="R22" t="s">
        <v>145</v>
      </c>
      <c r="AJ22">
        <f>100-SUM(Positions_Table[[#This Row],[USA]:[France]])</f>
        <v>100</v>
      </c>
      <c r="AX22">
        <f>100-SUM(Positions_Table[[#This Row],[Industrie]:[Services de consommation]])</f>
        <v>100</v>
      </c>
      <c r="AZ22">
        <v>50</v>
      </c>
      <c r="BA22">
        <v>50</v>
      </c>
      <c r="BB22">
        <f>100-SUM(Positions_Table[[#This Row],[Etats2]:[Entreprises]])</f>
        <v>0</v>
      </c>
    </row>
    <row r="23" spans="1:54" x14ac:dyDescent="0.35">
      <c r="A23" t="s">
        <v>131</v>
      </c>
      <c r="B23" t="s">
        <v>102</v>
      </c>
      <c r="C23" t="s">
        <v>99</v>
      </c>
      <c r="D23" t="s">
        <v>103</v>
      </c>
      <c r="E23" t="s">
        <v>168</v>
      </c>
      <c r="L23" s="3">
        <v>3.0000000000000001E-3</v>
      </c>
      <c r="M23" t="s">
        <v>142</v>
      </c>
      <c r="O23" t="s">
        <v>144</v>
      </c>
      <c r="P23">
        <v>2202</v>
      </c>
      <c r="Q23">
        <v>277</v>
      </c>
      <c r="R23" t="s">
        <v>145</v>
      </c>
      <c r="S23">
        <v>63</v>
      </c>
      <c r="T23">
        <v>10</v>
      </c>
      <c r="V23">
        <v>4</v>
      </c>
      <c r="Z23">
        <v>5</v>
      </c>
      <c r="AJ23">
        <f>100-SUM(Positions_Table[[#This Row],[USA]:[France]])</f>
        <v>18</v>
      </c>
      <c r="AL23">
        <v>7</v>
      </c>
      <c r="AM23">
        <v>13</v>
      </c>
      <c r="AN23">
        <v>6</v>
      </c>
      <c r="AO23">
        <v>23</v>
      </c>
      <c r="AP23">
        <v>15</v>
      </c>
      <c r="AQ23">
        <v>10</v>
      </c>
      <c r="AR23">
        <v>12</v>
      </c>
      <c r="AT23">
        <v>1</v>
      </c>
      <c r="AU23">
        <v>3</v>
      </c>
      <c r="AX23">
        <f>100-SUM(Positions_Table[[#This Row],[Industrie]:[Services de consommation]])</f>
        <v>10</v>
      </c>
      <c r="BB23">
        <f>100-SUM(Positions_Table[[#This Row],[Etats2]:[Entreprises]])</f>
        <v>100</v>
      </c>
    </row>
    <row r="24" spans="1:54" x14ac:dyDescent="0.35">
      <c r="A24" t="s">
        <v>131</v>
      </c>
      <c r="B24" t="s">
        <v>105</v>
      </c>
      <c r="C24" t="s">
        <v>99</v>
      </c>
      <c r="D24" t="s">
        <v>104</v>
      </c>
      <c r="E24" t="s">
        <v>169</v>
      </c>
      <c r="L24" s="3">
        <v>2.8E-3</v>
      </c>
      <c r="M24" t="s">
        <v>142</v>
      </c>
      <c r="O24" t="s">
        <v>144</v>
      </c>
      <c r="P24">
        <v>3265</v>
      </c>
      <c r="Q24">
        <v>560</v>
      </c>
      <c r="R24" t="s">
        <v>145</v>
      </c>
      <c r="AA24">
        <v>100</v>
      </c>
      <c r="AJ24">
        <f>100-SUM(Positions_Table[[#This Row],[USA]:[France]])</f>
        <v>0</v>
      </c>
      <c r="AL24">
        <v>4</v>
      </c>
      <c r="AM24">
        <v>18</v>
      </c>
      <c r="AN24">
        <v>27</v>
      </c>
      <c r="AO24">
        <v>8</v>
      </c>
      <c r="AP24">
        <v>4</v>
      </c>
      <c r="AQ24">
        <v>2</v>
      </c>
      <c r="AR24">
        <v>22</v>
      </c>
      <c r="AS24">
        <v>1</v>
      </c>
      <c r="AT24">
        <v>5</v>
      </c>
      <c r="AU24">
        <v>2</v>
      </c>
      <c r="AX24">
        <f>100-SUM(Positions_Table[[#This Row],[Industrie]:[Services de consommation]])</f>
        <v>7</v>
      </c>
      <c r="BB24">
        <f>100-SUM(Positions_Table[[#This Row],[Etats2]:[Entreprises]])</f>
        <v>100</v>
      </c>
    </row>
    <row r="25" spans="1:54" x14ac:dyDescent="0.35">
      <c r="A25" t="s">
        <v>131</v>
      </c>
      <c r="B25" t="s">
        <v>106</v>
      </c>
      <c r="C25" t="s">
        <v>100</v>
      </c>
      <c r="D25" t="s">
        <v>107</v>
      </c>
      <c r="E25" t="s">
        <v>170</v>
      </c>
      <c r="L25" s="3">
        <v>1.1999999999999999E-3</v>
      </c>
      <c r="M25" t="s">
        <v>142</v>
      </c>
      <c r="O25" t="s">
        <v>144</v>
      </c>
      <c r="P25">
        <v>494</v>
      </c>
      <c r="Q25">
        <v>49</v>
      </c>
      <c r="R25" t="s">
        <v>163</v>
      </c>
      <c r="S25">
        <v>83</v>
      </c>
      <c r="AJ25">
        <f>100-SUM(Positions_Table[[#This Row],[USA]:[France]])</f>
        <v>17</v>
      </c>
      <c r="AK25">
        <v>100</v>
      </c>
      <c r="AX25">
        <f>100-SUM(Positions_Table[[#This Row],[Industrie]:[Services de consommation]])</f>
        <v>100</v>
      </c>
      <c r="BB25">
        <f>100-SUM(Positions_Table[[#This Row],[Etats2]:[Entreprises]])</f>
        <v>100</v>
      </c>
    </row>
    <row r="26" spans="1:54" x14ac:dyDescent="0.35">
      <c r="A26" t="s">
        <v>131</v>
      </c>
      <c r="B26" t="s">
        <v>108</v>
      </c>
      <c r="C26" t="s">
        <v>109</v>
      </c>
      <c r="D26" t="s">
        <v>110</v>
      </c>
      <c r="E26" t="s">
        <v>171</v>
      </c>
      <c r="L26" s="3">
        <v>3.0000000000000001E-3</v>
      </c>
      <c r="M26" t="s">
        <v>142</v>
      </c>
      <c r="O26" t="s">
        <v>144</v>
      </c>
      <c r="P26">
        <v>140</v>
      </c>
      <c r="Q26">
        <v>72</v>
      </c>
      <c r="R26" t="s">
        <v>145</v>
      </c>
      <c r="Y26">
        <v>20</v>
      </c>
      <c r="Z26">
        <v>17</v>
      </c>
      <c r="AC26">
        <v>18</v>
      </c>
      <c r="AI26">
        <v>21</v>
      </c>
      <c r="AJ26">
        <f>100-SUM(Positions_Table[[#This Row],[USA]:[France]])</f>
        <v>24</v>
      </c>
      <c r="AS26">
        <v>100</v>
      </c>
      <c r="AX26">
        <f>100-SUM(Positions_Table[[#This Row],[Industrie]:[Services de consommation]])</f>
        <v>0</v>
      </c>
      <c r="BB26">
        <f>100-SUM(Positions_Table[[#This Row],[Etats2]:[Entreprises]])</f>
        <v>100</v>
      </c>
    </row>
    <row r="27" spans="1:54" x14ac:dyDescent="0.35">
      <c r="A27" t="s">
        <v>100</v>
      </c>
      <c r="B27" t="s">
        <v>118</v>
      </c>
      <c r="C27" t="s">
        <v>100</v>
      </c>
      <c r="D27" t="s">
        <v>111</v>
      </c>
      <c r="H27" t="s">
        <v>174</v>
      </c>
      <c r="I27">
        <v>1.7500000000000002E-2</v>
      </c>
      <c r="J27">
        <v>46248</v>
      </c>
      <c r="L27" s="3"/>
      <c r="W27">
        <v>100</v>
      </c>
      <c r="AJ27">
        <f>100-SUM(Positions_Table[[#This Row],[USA]:[France]])</f>
        <v>0</v>
      </c>
      <c r="AX27">
        <f>100-SUM(Positions_Table[[#This Row],[Industrie]:[Services de consommation]])</f>
        <v>100</v>
      </c>
      <c r="BB27">
        <f>100-SUM(Positions_Table[[#This Row],[Etats2]:[Entreprises]])</f>
        <v>100</v>
      </c>
    </row>
    <row r="28" spans="1:54" x14ac:dyDescent="0.35">
      <c r="A28" t="s">
        <v>100</v>
      </c>
      <c r="B28" t="s">
        <v>119</v>
      </c>
      <c r="C28" t="s">
        <v>100</v>
      </c>
      <c r="D28" t="s">
        <v>112</v>
      </c>
      <c r="H28" t="s">
        <v>160</v>
      </c>
      <c r="I28">
        <v>7.4999999999999997E-3</v>
      </c>
      <c r="J28">
        <v>46063</v>
      </c>
      <c r="L28" s="3"/>
      <c r="W28">
        <v>100</v>
      </c>
      <c r="AJ28">
        <f>100-SUM(Positions_Table[[#This Row],[USA]:[France]])</f>
        <v>0</v>
      </c>
      <c r="AX28">
        <f>100-SUM(Positions_Table[[#This Row],[Industrie]:[Services de consommation]])</f>
        <v>100</v>
      </c>
      <c r="BB28">
        <f>100-SUM(Positions_Table[[#This Row],[Etats2]:[Entreprises]])</f>
        <v>100</v>
      </c>
    </row>
    <row r="29" spans="1:54" x14ac:dyDescent="0.35">
      <c r="A29" t="s">
        <v>100</v>
      </c>
      <c r="B29" t="s">
        <v>120</v>
      </c>
      <c r="C29" t="s">
        <v>100</v>
      </c>
      <c r="D29" t="s">
        <v>113</v>
      </c>
      <c r="H29" t="s">
        <v>174</v>
      </c>
      <c r="I29">
        <v>2.375E-2</v>
      </c>
      <c r="J29">
        <v>46531</v>
      </c>
      <c r="L29" s="3"/>
      <c r="AJ29">
        <f>100-SUM(Positions_Table[[#This Row],[USA]:[France]])</f>
        <v>100</v>
      </c>
      <c r="AX29">
        <f>100-SUM(Positions_Table[[#This Row],[Industrie]:[Services de consommation]])</f>
        <v>100</v>
      </c>
      <c r="BB29">
        <f>100-SUM(Positions_Table[[#This Row],[Etats2]:[Entreprises]])</f>
        <v>100</v>
      </c>
    </row>
    <row r="30" spans="1:54" x14ac:dyDescent="0.35">
      <c r="A30" t="s">
        <v>100</v>
      </c>
      <c r="B30" t="s">
        <v>121</v>
      </c>
      <c r="C30" t="s">
        <v>100</v>
      </c>
      <c r="D30" t="s">
        <v>114</v>
      </c>
      <c r="H30" t="s">
        <v>176</v>
      </c>
      <c r="I30">
        <v>1.8749999999999999E-2</v>
      </c>
      <c r="J30">
        <v>46066</v>
      </c>
      <c r="L30" s="3"/>
      <c r="AC30">
        <v>100</v>
      </c>
      <c r="AJ30">
        <f>100-SUM(Positions_Table[[#This Row],[USA]:[France]])</f>
        <v>0</v>
      </c>
      <c r="AX30">
        <f>100-SUM(Positions_Table[[#This Row],[Industrie]:[Services de consommation]])</f>
        <v>100</v>
      </c>
      <c r="BB30">
        <f>100-SUM(Positions_Table[[#This Row],[Etats2]:[Entreprises]])</f>
        <v>100</v>
      </c>
    </row>
    <row r="31" spans="1:54" x14ac:dyDescent="0.35">
      <c r="A31" t="s">
        <v>100</v>
      </c>
      <c r="B31" t="s">
        <v>122</v>
      </c>
      <c r="C31" t="s">
        <v>100</v>
      </c>
      <c r="D31" t="s">
        <v>115</v>
      </c>
      <c r="H31" t="s">
        <v>174</v>
      </c>
      <c r="I31">
        <v>3.7499999999999999E-3</v>
      </c>
      <c r="J31">
        <v>46599</v>
      </c>
      <c r="L31" s="3"/>
      <c r="S31">
        <v>100</v>
      </c>
      <c r="AJ31">
        <f>100-SUM(Positions_Table[[#This Row],[USA]:[France]])</f>
        <v>0</v>
      </c>
      <c r="AX31">
        <f>100-SUM(Positions_Table[[#This Row],[Industrie]:[Services de consommation]])</f>
        <v>100</v>
      </c>
      <c r="BB31">
        <f>100-SUM(Positions_Table[[#This Row],[Etats2]:[Entreprises]])</f>
        <v>100</v>
      </c>
    </row>
    <row r="32" spans="1:54" x14ac:dyDescent="0.35">
      <c r="A32" t="s">
        <v>100</v>
      </c>
      <c r="B32" t="s">
        <v>123</v>
      </c>
      <c r="C32" t="s">
        <v>100</v>
      </c>
      <c r="D32" t="s">
        <v>116</v>
      </c>
      <c r="H32" t="s">
        <v>175</v>
      </c>
      <c r="I32">
        <v>2.5000000000000001E-3</v>
      </c>
      <c r="J32">
        <v>46888</v>
      </c>
      <c r="L32" s="3"/>
      <c r="AD32">
        <v>100</v>
      </c>
      <c r="AJ32">
        <f>100-SUM(Positions_Table[[#This Row],[USA]:[France]])</f>
        <v>0</v>
      </c>
      <c r="AX32">
        <f>100-SUM(Positions_Table[[#This Row],[Industrie]:[Services de consommation]])</f>
        <v>100</v>
      </c>
      <c r="BB32">
        <f>100-SUM(Positions_Table[[#This Row],[Etats2]:[Entreprises]])</f>
        <v>100</v>
      </c>
    </row>
    <row r="33" spans="1:54" x14ac:dyDescent="0.35">
      <c r="A33" t="s">
        <v>100</v>
      </c>
      <c r="B33" t="s">
        <v>124</v>
      </c>
      <c r="C33" t="s">
        <v>100</v>
      </c>
      <c r="D33" t="s">
        <v>117</v>
      </c>
      <c r="H33" t="s">
        <v>175</v>
      </c>
      <c r="I33">
        <v>5.0000000000000001E-3</v>
      </c>
      <c r="J33">
        <v>46157</v>
      </c>
      <c r="L33" s="3"/>
      <c r="AD33">
        <v>100</v>
      </c>
      <c r="AJ33">
        <f>100-SUM(Positions_Table[[#This Row],[USA]:[France]])</f>
        <v>0</v>
      </c>
      <c r="AX33">
        <f>100-SUM(Positions_Table[[#This Row],[Industrie]:[Services de consommation]])</f>
        <v>100</v>
      </c>
      <c r="BB33">
        <f>100-SUM(Positions_Table[[#This Row],[Etats2]:[Entreprises]])</f>
        <v>100</v>
      </c>
    </row>
    <row r="34" spans="1:54" x14ac:dyDescent="0.35">
      <c r="A34" t="s">
        <v>11</v>
      </c>
      <c r="B34" t="s">
        <v>127</v>
      </c>
      <c r="C34" t="s">
        <v>100</v>
      </c>
      <c r="D34" t="s">
        <v>126</v>
      </c>
      <c r="L34" s="3"/>
      <c r="AC34">
        <v>50</v>
      </c>
      <c r="AI34">
        <v>50</v>
      </c>
      <c r="AJ34">
        <f>100-SUM(Positions_Table[[#This Row],[USA]:[France]])</f>
        <v>0</v>
      </c>
      <c r="AX34">
        <f>100-SUM(Positions_Table[[#This Row],[Industrie]:[Services de consommation]])</f>
        <v>100</v>
      </c>
      <c r="AZ34">
        <v>50</v>
      </c>
      <c r="BA34">
        <v>50</v>
      </c>
      <c r="BB34">
        <f>100-SUM(Positions_Table[[#This Row],[Etats2]:[Entreprises]])</f>
        <v>0</v>
      </c>
    </row>
    <row r="35" spans="1:54" x14ac:dyDescent="0.35">
      <c r="A35" t="s">
        <v>6</v>
      </c>
      <c r="B35" t="s">
        <v>132</v>
      </c>
      <c r="C35" t="s">
        <v>100</v>
      </c>
      <c r="D35" t="s">
        <v>130</v>
      </c>
      <c r="L35" s="3"/>
      <c r="AC35">
        <v>50</v>
      </c>
      <c r="AI35">
        <v>50</v>
      </c>
      <c r="AJ35">
        <f>100-SUM(Positions_Table[[#This Row],[USA]:[France]])</f>
        <v>0</v>
      </c>
      <c r="AX35">
        <f>100-SUM(Positions_Table[[#This Row],[Industrie]:[Services de consommation]])</f>
        <v>100</v>
      </c>
      <c r="AZ35">
        <v>50</v>
      </c>
      <c r="BA35">
        <v>50</v>
      </c>
      <c r="BB35">
        <f>100-SUM(Positions_Table[[#This Row],[Etats2]:[Entreprises]])</f>
        <v>0</v>
      </c>
    </row>
    <row r="36" spans="1:54" x14ac:dyDescent="0.35">
      <c r="A36" t="s">
        <v>11</v>
      </c>
      <c r="B36" t="s">
        <v>134</v>
      </c>
      <c r="C36" t="s">
        <v>100</v>
      </c>
      <c r="D36" t="s">
        <v>133</v>
      </c>
      <c r="L36" s="3"/>
      <c r="S36">
        <v>60</v>
      </c>
      <c r="AJ36">
        <f>100-SUM(Positions_Table[[#This Row],[USA]:[France]])</f>
        <v>40</v>
      </c>
      <c r="AX36">
        <f>100-SUM(Positions_Table[[#This Row],[Industrie]:[Services de consommation]])</f>
        <v>100</v>
      </c>
      <c r="BA36">
        <v>100</v>
      </c>
      <c r="BB36">
        <f>100-SUM(Positions_Table[[#This Row],[Etats2]:[Entreprises]])</f>
        <v>0</v>
      </c>
    </row>
  </sheetData>
  <pageMargins left="0.75" right="0.75" top="0.75" bottom="0.5" header="0.5" footer="0.7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"/>
  <sheetViews>
    <sheetView workbookViewId="0"/>
  </sheetViews>
  <sheetFormatPr baseColWidth="10" defaultColWidth="8.7265625" defaultRowHeight="14.5" x14ac:dyDescent="0.35"/>
  <sheetData>
    <row r="1" spans="1:21" x14ac:dyDescent="0.35">
      <c r="A1" t="s">
        <v>43</v>
      </c>
      <c r="B1" t="s">
        <v>44</v>
      </c>
      <c r="C1" t="s">
        <v>1</v>
      </c>
      <c r="D1" t="s">
        <v>2</v>
      </c>
      <c r="E1" t="s">
        <v>3</v>
      </c>
      <c r="F1" t="s">
        <v>45</v>
      </c>
      <c r="G1" t="s">
        <v>46</v>
      </c>
      <c r="H1" t="s">
        <v>4</v>
      </c>
      <c r="I1" t="s">
        <v>5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0</v>
      </c>
      <c r="R1" t="s">
        <v>54</v>
      </c>
      <c r="S1" t="s">
        <v>55</v>
      </c>
      <c r="T1" t="s">
        <v>56</v>
      </c>
      <c r="U1" t="s">
        <v>57</v>
      </c>
    </row>
  </sheetData>
  <pageMargins left="0.75" right="0.75" top="0.75" bottom="0.5" header="0.5" footer="0.7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7265625" defaultRowHeight="14.5" x14ac:dyDescent="0.35"/>
  <sheetData>
    <row r="1" spans="1:6" x14ac:dyDescent="0.35">
      <c r="A1" t="s">
        <v>43</v>
      </c>
      <c r="B1" t="s">
        <v>58</v>
      </c>
      <c r="C1" t="s">
        <v>54</v>
      </c>
      <c r="D1" t="s">
        <v>59</v>
      </c>
      <c r="E1" t="s">
        <v>60</v>
      </c>
      <c r="F1" t="s">
        <v>61</v>
      </c>
    </row>
    <row r="2" spans="1:6" x14ac:dyDescent="0.35">
      <c r="A2" t="s">
        <v>62</v>
      </c>
      <c r="C2" t="s">
        <v>63</v>
      </c>
      <c r="D2" s="1">
        <v>24352.17</v>
      </c>
      <c r="E2">
        <v>1</v>
      </c>
      <c r="F2" s="1">
        <v>24352.17</v>
      </c>
    </row>
  </sheetData>
  <pageMargins left="0.75" right="0.75" top="0.75" bottom="0.5" header="0.5" footer="0.7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"/>
  <sheetViews>
    <sheetView workbookViewId="0"/>
  </sheetViews>
  <sheetFormatPr baseColWidth="10" defaultColWidth="8.7265625" defaultRowHeight="14.5" x14ac:dyDescent="0.35"/>
  <sheetData>
    <row r="1" spans="1:9" x14ac:dyDescent="0.35">
      <c r="A1" t="s">
        <v>1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60</v>
      </c>
      <c r="H1" t="s">
        <v>59</v>
      </c>
      <c r="I1" t="s">
        <v>69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Positions</vt:lpstr>
      <vt:lpstr>Ordres</vt:lpstr>
      <vt:lpstr>Cash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Sébastien Lecocq</dc:creator>
  <cp:lastModifiedBy>Sébastien Lecocq</cp:lastModifiedBy>
  <dcterms:created xsi:type="dcterms:W3CDTF">2026-02-07T09:35:24Z</dcterms:created>
  <dcterms:modified xsi:type="dcterms:W3CDTF">2026-02-07T13:08:56Z</dcterms:modified>
</cp:coreProperties>
</file>